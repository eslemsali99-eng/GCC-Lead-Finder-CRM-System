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KU - Yontem &amp; Yasal" sheetId="1" state="visible" r:id="rId1"/>
    <sheet name="TUM KISILER" sheetId="2" state="visible" r:id="rId2"/>
    <sheet name="GCC Hedef Kisiler" sheetId="3" state="visible" r:id="rId3"/>
    <sheet name="Yoneticiler (Yuksek Yanit)" sheetId="4" state="visible" r:id="rId4"/>
    <sheet name="Borsa Kurul &amp; C-Suite" sheetId="5" state="visible" r:id="rId5"/>
    <sheet name="Kesif Yontemleri" sheetId="6" state="visible" r:id="rId6"/>
    <sheet name="Etkinlik &amp; Sinyal" sheetId="7" state="visible" r:id="rId7"/>
    <sheet name="Scraping Pipeline" sheetId="8" state="visible" r:id="rId8"/>
    <sheet name="Outreach Stratejisi" sheetId="9" state="visible" r:id="rId9"/>
  </sheets>
  <definedNames>
    <definedName name="_xlnm._FilterDatabase" localSheetId="1" hidden="1">'TUM KISILER'!$A$2:$O$254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b val="1"/>
      <color rgb="001F3864"/>
      <sz val="12"/>
    </font>
    <font>
      <name val="Arial"/>
      <color rgb="00000000"/>
      <sz val="10"/>
    </font>
    <font>
      <name val="Arial"/>
      <b val="1"/>
      <color rgb="00C55A11"/>
      <sz val="12"/>
    </font>
    <font>
      <name val="Arial"/>
      <b val="1"/>
      <color rgb="00548235"/>
      <sz val="12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b val="1"/>
      <color rgb="00548235"/>
      <sz val="10"/>
    </font>
    <font>
      <name val="Arial"/>
      <b val="1"/>
      <color rgb="001F3864"/>
      <sz val="14"/>
    </font>
    <font>
      <name val="Arial"/>
      <color rgb="00C55A11"/>
      <sz val="10"/>
    </font>
    <font>
      <name val="Arial"/>
      <b val="1"/>
      <sz val="10"/>
    </font>
    <font>
      <name val="Arial"/>
      <b val="1"/>
      <color rgb="001F3864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548235"/>
      </patternFill>
    </fill>
    <fill>
      <patternFill patternType="solid">
        <fgColor rgb="002E5395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top" wrapText="1"/>
    </xf>
    <xf numFmtId="0" fontId="7" fillId="6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8" fillId="0" borderId="1" applyAlignment="1" pivotButton="0" quotePrefix="0" xfId="0">
      <alignment horizontal="left" vertical="top" wrapText="1"/>
    </xf>
    <xf numFmtId="0" fontId="7" fillId="7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left" vertical="top" wrapText="1"/>
    </xf>
    <xf numFmtId="0" fontId="7" fillId="8" borderId="1" applyAlignment="1" pivotButton="0" quotePrefix="0" xfId="0">
      <alignment horizontal="left" vertical="top" wrapText="1"/>
    </xf>
    <xf numFmtId="0" fontId="9" fillId="0" borderId="1" applyAlignment="1" pivotButton="0" quotePrefix="0" xfId="0">
      <alignment horizontal="center" vertical="top" wrapText="1"/>
    </xf>
    <xf numFmtId="0" fontId="6" fillId="3" borderId="0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top" wrapText="1"/>
    </xf>
    <xf numFmtId="0" fontId="11" fillId="0" borderId="0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top" wrapText="1"/>
    </xf>
    <xf numFmtId="0" fontId="6" fillId="4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left" vertical="top" wrapText="1"/>
    </xf>
    <xf numFmtId="0" fontId="14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2" customWidth="1" min="2" max="2"/>
  </cols>
  <sheetData>
    <row r="2">
      <c r="B2" s="1" t="inlineStr">
        <is>
          <t>GCC Zengin Yatırımcı Lead Sistemi — Önce Bunu Oku</t>
        </is>
      </c>
    </row>
    <row r="3">
      <c r="B3" s="2" t="inlineStr">
        <is>
          <t>NE ALDIN</t>
        </is>
      </c>
    </row>
    <row r="4" ht="60" customHeight="1">
      <c r="B4" s="3" t="inlineStr">
        <is>
          <t>Teknosab arazi + Ege villa + fabrika + Türk vatandaşlığı paketini Körfez'deki zengin kişilere satman için GERÇEK hedef listesi. 'GCC Hedef Kişiler' sekmesindeki 38 isim ARACI DEĞİL; doğrudan kurucu/başkan/CEO — yani parayı verecek kişinin kendisi. Hepsi web'den (Forbes, Arabian Business, şirket siteleri) doğrulandı.</t>
        </is>
      </c>
    </row>
    <row r="6">
      <c r="B6" s="4" t="inlineStr">
        <is>
          <t>NEDEN UYDURMA NUMARA YOK — DÜRÜST</t>
        </is>
      </c>
    </row>
    <row r="7" ht="45" customHeight="1">
      <c r="B7" s="3" t="inlineStr">
        <is>
          <t>İsim, rol, şirket ve web sitesi gerçek ve public. Ama kişisel telefon/WhatsApp/mail'i uydurmadım — onlar 'Scraping Pipeline' + 'Keşif Yöntemleri' ile public kaynaklardan SEN doldurursun. Sahte numara = yanlış kişiyi aramak = itibar kaybı. Senin satışın güven üzerine kurulu, onu riske atmam.</t>
        </is>
      </c>
    </row>
    <row r="9">
      <c r="B9" s="4" t="inlineStr">
        <is>
          <t>DOSYAYI VS CODE'DA AÇMA</t>
        </is>
      </c>
    </row>
    <row r="10" ht="45" customHeight="1">
      <c r="B10" s="3" t="inlineStr">
        <is>
          <t>.xlsx ikili (binary) bir dosyadır; VS Code metin editöründe açarsan anlamsız karakterler görürsün — bozuk değildir. Dosyaya çift tıkla, Excel veya Numbers ile aç. Hızlı bakış için GCC_Hedef_Kisiler.csv de var.</t>
        </is>
      </c>
    </row>
    <row r="12">
      <c r="B12" s="5" t="inlineStr">
        <is>
          <t>ÖNCE BURADAN BAŞLA</t>
        </is>
      </c>
    </row>
    <row r="13" ht="60" customHeight="1">
      <c r="B13" s="3" t="inlineStr">
        <is>
          <t>'Yöneticiler (Yüksek Yanıt)' sekmesi = 25 profesyonel CEO/CFO. Patron değiller ama villa/vatandaşlık alacak kadar yüksek maaşlı VE LinkedIn'de aktif olduğu için GERÇEKTEN cevap verirler. İlk satışları buradan çıkar. Milyarder sahipler ('GCC Hedef Kişiler') uzun vadeli, düşük yanıtlı hedeftir — sabır ister.</t>
        </is>
      </c>
    </row>
    <row r="15">
      <c r="B15" s="2" t="inlineStr">
        <is>
          <t>NASIL KULLANILIR</t>
        </is>
      </c>
    </row>
    <row r="16" ht="30" customHeight="1">
      <c r="B16" s="3" t="inlineStr">
        <is>
          <t>1) 'GCC Hedef Kişiler' — 35 milyarder/sahip. Şirket web + LinkedIn + 27'sinde gerçek public mail/telefon dolu.</t>
        </is>
      </c>
    </row>
    <row r="17" ht="30" customHeight="1">
      <c r="B17" s="3" t="inlineStr">
        <is>
          <t>2) 'Keşif Yöntemleri' — bu kişilerin public olarak NEREDE göründüğünü (liste, etkinlik, borsa, basın...) topla.</t>
        </is>
      </c>
    </row>
    <row r="18" ht="15" customHeight="1">
      <c r="B18" s="3" t="inlineStr">
        <is>
          <t>3) 'Scraping Pipeline' — Apify ile public iş iletişimini (mail/telefon/sosyal) otomatik doldur.</t>
        </is>
      </c>
    </row>
    <row r="19" ht="15" customHeight="1">
      <c r="B19" s="3" t="inlineStr">
        <is>
          <t>4) Numarayı 'WhatsApp (ham)' sütununa yapıştır → yanındaki link otomatik tıklanabilir wa.me olur.</t>
        </is>
      </c>
    </row>
    <row r="20" ht="15" customHeight="1">
      <c r="B20" s="3" t="inlineStr">
        <is>
          <t>5) 'Outreach Stratejisi' — üst düzey kişiye nasıl yazılır (asistan/IR üzerinden, kısa ve değerli).</t>
        </is>
      </c>
    </row>
    <row r="22">
      <c r="B22" s="4" t="inlineStr">
        <is>
          <t>YASAL ÇİZGİ (KVKK/GDPR)</t>
        </is>
      </c>
    </row>
    <row r="23" ht="45" customHeight="1">
      <c r="B23" s="3" t="inlineStr">
        <is>
          <t>Public iş iletişimi (kurumsal mail, IR, santral, asistan) toplamak ve B2B teklif yasaldır. İlk mesajda opt-out ver. Toplu otomatik WhatsApp gönderme (numara banlanır). Her verinin kaynağını 'Kaynak' sütunundan izle.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4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8" customWidth="1" min="3" max="3"/>
    <col width="22" customWidth="1" min="4" max="4"/>
    <col width="22" customWidth="1" min="5" max="5"/>
    <col width="24" customWidth="1" min="6" max="6"/>
    <col width="13" customWidth="1" min="7" max="7"/>
    <col width="20" customWidth="1" min="8" max="8"/>
    <col width="15" customWidth="1" min="9" max="9"/>
    <col width="17" customWidth="1" min="10" max="10"/>
    <col width="22" customWidth="1" min="11" max="11"/>
    <col width="16" customWidth="1" min="12" max="12"/>
    <col width="15" customWidth="1" min="13" max="13"/>
    <col width="30" customWidth="1" min="14" max="14"/>
    <col width="8" customWidth="1" min="15" max="15"/>
  </cols>
  <sheetData>
    <row r="1" ht="26" customHeight="1">
      <c r="A1" s="6" t="inlineStr">
        <is>
          <t>TÜM KİŞİLER — tek liste, kategori sütunlu. Filtre/sıralama için B (Kategori) ve H (Yanıt Olasılığı) sütununu kullan. Detaylı alt-görünümler ayrı sekmelerde.</t>
        </is>
      </c>
    </row>
    <row r="2" ht="30" customHeight="1">
      <c r="A2" s="7" t="inlineStr">
        <is>
          <t>No</t>
        </is>
      </c>
      <c r="B2" s="7" t="inlineStr">
        <is>
          <t>Kategori</t>
        </is>
      </c>
      <c r="C2" s="7" t="inlineStr">
        <is>
          <t>Sektör</t>
        </is>
      </c>
      <c r="D2" s="7" t="inlineStr">
        <is>
          <t>İsim</t>
        </is>
      </c>
      <c r="E2" s="7" t="inlineStr">
        <is>
          <t>Rol / Unvan</t>
        </is>
      </c>
      <c r="F2" s="7" t="inlineStr">
        <is>
          <t>Şirket</t>
        </is>
      </c>
      <c r="G2" s="7" t="inlineStr">
        <is>
          <t>Ülke</t>
        </is>
      </c>
      <c r="H2" s="7" t="inlineStr">
        <is>
          <t>Yanıt Olasılığı</t>
        </is>
      </c>
      <c r="I2" s="7" t="inlineStr">
        <is>
          <t>LinkedIn</t>
        </is>
      </c>
      <c r="J2" s="7" t="inlineStr">
        <is>
          <t>Şirket Web</t>
        </is>
      </c>
      <c r="K2" s="7" t="inlineStr">
        <is>
          <t>İş E-postası</t>
        </is>
      </c>
      <c r="L2" s="7" t="inlineStr">
        <is>
          <t>Telefon</t>
        </is>
      </c>
      <c r="M2" s="7" t="inlineStr">
        <is>
          <t>Instagram</t>
        </is>
      </c>
      <c r="N2" s="7" t="inlineStr">
        <is>
          <t>Doğrulama / Not</t>
        </is>
      </c>
      <c r="O2" s="7" t="inlineStr">
        <is>
          <t>Kaynak</t>
        </is>
      </c>
    </row>
    <row r="3" ht="30" customHeight="1">
      <c r="A3" s="8" t="n">
        <v>1</v>
      </c>
      <c r="B3" s="9" t="inlineStr">
        <is>
          <t>Milyarder Sahip/Kurucu</t>
        </is>
      </c>
      <c r="C3" s="10" t="inlineStr">
        <is>
          <t>Holding / otelcilik</t>
        </is>
      </c>
      <c r="D3" s="10" t="inlineStr">
        <is>
          <t>Khalaf Ahmad Al Habtoor</t>
        </is>
      </c>
      <c r="E3" s="10" t="inlineStr">
        <is>
          <t>Kurucu &amp; Başkan</t>
        </is>
      </c>
      <c r="F3" s="10" t="inlineStr">
        <is>
          <t>Al Habtoor Group</t>
        </is>
      </c>
      <c r="G3" s="10" t="inlineStr">
        <is>
          <t>BAE (Dubai)</t>
        </is>
      </c>
      <c r="H3" s="10" t="inlineStr">
        <is>
          <t>Düşük (sahip — uzun vade)</t>
        </is>
      </c>
      <c r="I3" s="11">
        <f>HYPERLINK("https://www.linkedin.com/search/results/people/?keywords=Khalaf%20Ahmad%20Al%20Habtoor","LinkedIn'de bul")</f>
        <v/>
      </c>
      <c r="J3" s="11">
        <f>HYPERLINK("https://www.habtoor.com","habtoor.com")</f>
        <v/>
      </c>
      <c r="K3" s="10" t="inlineStr"/>
      <c r="L3" s="10" t="inlineStr">
        <is>
          <t>+971 4 394 1444</t>
        </is>
      </c>
      <c r="M3" s="10" t="inlineStr">
        <is>
          <t>@alhabtoorgroup</t>
        </is>
      </c>
      <c r="N3" s="10" t="inlineStr">
        <is>
          <t>Yaşıyor, aktif (2026 Mart'ta public yorumlar). | Mail yok; form üzerinden. Özel grup.</t>
        </is>
      </c>
      <c r="O3" s="11">
        <f>HYPERLINK("https://en.wikipedia.org/wiki/Khalaf_Ahmad_Al_Habtoor","Kaynak")</f>
        <v/>
      </c>
    </row>
    <row r="4" ht="30" customHeight="1">
      <c r="A4" s="8" t="n">
        <v>2</v>
      </c>
      <c r="B4" s="9" t="inlineStr">
        <is>
          <t>Milyarder Sahip/Kurucu</t>
        </is>
      </c>
      <c r="C4" s="10" t="inlineStr">
        <is>
          <t>Perakende</t>
        </is>
      </c>
      <c r="D4" s="10" t="inlineStr">
        <is>
          <t>Yusuffali M.A.</t>
        </is>
      </c>
      <c r="E4" s="10" t="inlineStr">
        <is>
          <t>Kurucu, Başkan &amp; MD</t>
        </is>
      </c>
      <c r="F4" s="10" t="inlineStr">
        <is>
          <t>LuLu Group International</t>
        </is>
      </c>
      <c r="G4" s="10" t="inlineStr">
        <is>
          <t>BAE (Abu Dabi)</t>
        </is>
      </c>
      <c r="H4" s="10" t="inlineStr">
        <is>
          <t>Düşük (sahip — uzun vade)</t>
        </is>
      </c>
      <c r="I4" s="11">
        <f>HYPERLINK("https://www.linkedin.com/search/results/people/?keywords=Yusuffali%20M.A.","LinkedIn'de bul")</f>
        <v/>
      </c>
      <c r="J4" s="11">
        <f>HYPERLINK("https://www.lulugroupinternational.com","lulugroupinternational.com")</f>
        <v/>
      </c>
      <c r="K4" s="10" t="inlineStr">
        <is>
          <t>headoffice@ae.lulumea.com</t>
        </is>
      </c>
      <c r="L4" s="10" t="inlineStr">
        <is>
          <t>+971 2 4182000</t>
        </is>
      </c>
      <c r="M4" s="10" t="inlineStr">
        <is>
          <t>@luluretailholdings</t>
        </is>
      </c>
      <c r="N4" s="10" t="inlineStr">
        <is>
          <t>Yaşıyor, aktif başkan &amp; MD (2025). | Site luluretail.com'a (ADX:LULU) yönleniyor; mail/telefonu canlı sayfada teyit et.</t>
        </is>
      </c>
      <c r="O4" s="11">
        <f>HYPERLINK("https://en.wikipedia.org/wiki/M._A._Yusuff_Ali","Kaynak")</f>
        <v/>
      </c>
    </row>
    <row r="5" ht="30" customHeight="1">
      <c r="A5" s="8" t="n">
        <v>3</v>
      </c>
      <c r="B5" s="9" t="inlineStr">
        <is>
          <t>Milyarder Sahip/Kurucu</t>
        </is>
      </c>
      <c r="C5" s="10" t="inlineStr">
        <is>
          <t>Otomotiv / perakende</t>
        </is>
      </c>
      <c r="D5" s="10" t="inlineStr">
        <is>
          <t>Abdulla Al Futtaim</t>
        </is>
      </c>
      <c r="E5" s="10" t="inlineStr">
        <is>
          <t>Sahip &amp; Başkan</t>
        </is>
      </c>
      <c r="F5" s="10" t="inlineStr">
        <is>
          <t>Al-Futtaim Group</t>
        </is>
      </c>
      <c r="G5" s="10" t="inlineStr">
        <is>
          <t>BAE (Dubai)</t>
        </is>
      </c>
      <c r="H5" s="10" t="inlineStr">
        <is>
          <t>Düşük (sahip — uzun vade)</t>
        </is>
      </c>
      <c r="I5" s="11">
        <f>HYPERLINK("https://www.linkedin.com/search/results/people/?keywords=Abdulla%20Al%20Futtaim","LinkedIn'de bul")</f>
        <v/>
      </c>
      <c r="J5" s="11">
        <f>HYPERLINK("https://www.alfuttaim.com","alfuttaim.com")</f>
        <v/>
      </c>
      <c r="K5" s="10" t="inlineStr"/>
      <c r="L5" s="10" t="inlineStr"/>
      <c r="M5" s="10" t="inlineStr">
        <is>
          <t>@alfuttaim</t>
        </is>
      </c>
      <c r="N5" s="10" t="inlineStr">
        <is>
          <t>Yaşıyor; oğlu Omar grup CEO'su. (Majid Al Futtaim'den farklı kişi.) | Sadece web formu; mail/telefon yayınlamıyor. Medya/Partner formu ayrı.</t>
        </is>
      </c>
      <c r="O5" s="11">
        <f>HYPERLINK("https://en.wikipedia.org/wiki/Abdulla_Al_Futtaim","Kaynak")</f>
        <v/>
      </c>
    </row>
    <row r="6" ht="30" customHeight="1">
      <c r="A6" s="8" t="n">
        <v>4</v>
      </c>
      <c r="B6" s="9" t="inlineStr">
        <is>
          <t>Milyarder Sahip/Kurucu</t>
        </is>
      </c>
      <c r="C6" s="10" t="inlineStr">
        <is>
          <t>Sağlık</t>
        </is>
      </c>
      <c r="D6" s="10" t="inlineStr">
        <is>
          <t>Dr. Shamsheer Vayalil</t>
        </is>
      </c>
      <c r="E6" s="10" t="inlineStr">
        <is>
          <t>Kurucu, Başkan &amp; CEO</t>
        </is>
      </c>
      <c r="F6" s="10" t="inlineStr">
        <is>
          <t>Burjeel Holdings</t>
        </is>
      </c>
      <c r="G6" s="10" t="inlineStr">
        <is>
          <t>BAE (Abu Dabi)</t>
        </is>
      </c>
      <c r="H6" s="10" t="inlineStr">
        <is>
          <t>Düşük (sahip — uzun vade)</t>
        </is>
      </c>
      <c r="I6" s="11">
        <f>HYPERLINK("https://www.linkedin.com/search/results/people/?keywords=Dr.%20Shamsheer%20Vayalil","LinkedIn'de bul")</f>
        <v/>
      </c>
      <c r="J6" s="11">
        <f>HYPERLINK("https://burjeelholdings.com","burjeelholdings.com")</f>
        <v/>
      </c>
      <c r="K6" s="10" t="inlineStr">
        <is>
          <t>info@burjeelholdings.com</t>
        </is>
      </c>
      <c r="L6" s="10" t="inlineStr">
        <is>
          <t>+971 800 55</t>
        </is>
      </c>
      <c r="M6" s="10" t="inlineStr">
        <is>
          <t>@burjeelholdings</t>
        </is>
      </c>
      <c r="N6" s="10" t="inlineStr">
        <is>
          <t>Yaşıyor; 2025'te CEO'luğu da üstlendi. | Listeli (ADX:BURJEEL). 80055 toll + WhatsApp hattı.</t>
        </is>
      </c>
      <c r="O6" s="11">
        <f>HYPERLINK("https://burjeelholdings.com/company/leadership/","Kaynak")</f>
        <v/>
      </c>
    </row>
    <row r="7" ht="30" customHeight="1">
      <c r="A7" s="8" t="n">
        <v>5</v>
      </c>
      <c r="B7" s="9" t="inlineStr">
        <is>
          <t>Milyarder Sahip/Kurucu</t>
        </is>
      </c>
      <c r="C7" s="10" t="inlineStr">
        <is>
          <t>Eğitim</t>
        </is>
      </c>
      <c r="D7" s="10" t="inlineStr">
        <is>
          <t>Sunny Varkey</t>
        </is>
      </c>
      <c r="E7" s="10" t="inlineStr">
        <is>
          <t>Kurucu &amp; İcra Başkanı</t>
        </is>
      </c>
      <c r="F7" s="10" t="inlineStr">
        <is>
          <t>GEMS Education</t>
        </is>
      </c>
      <c r="G7" s="10" t="inlineStr">
        <is>
          <t>BAE (Dubai)</t>
        </is>
      </c>
      <c r="H7" s="10" t="inlineStr">
        <is>
          <t>Düşük (sahip — uzun vade)</t>
        </is>
      </c>
      <c r="I7" s="11">
        <f>HYPERLINK("https://www.linkedin.com/search/results/people/?keywords=Sunny%20Varkey","LinkedIn'de bul")</f>
        <v/>
      </c>
      <c r="J7" s="11">
        <f>HYPERLINK("https://www.gemseducation.com","gemseducation.com")</f>
        <v/>
      </c>
      <c r="K7" s="10" t="inlineStr">
        <is>
          <t>parents@gemseducation.com</t>
        </is>
      </c>
      <c r="L7" s="10" t="inlineStr">
        <is>
          <t>+971 4 347 7770</t>
        </is>
      </c>
      <c r="M7" s="10" t="inlineStr">
        <is>
          <t>@gems_education</t>
        </is>
      </c>
      <c r="N7" s="10" t="inlineStr">
        <is>
          <t>Yaşıyor, aktif; oğlu Dino CEO. | Kurumsal hat; veli hattı 600 567771. Özel.</t>
        </is>
      </c>
      <c r="O7" s="11">
        <f>HYPERLINK("https://en.wikipedia.org/wiki/Sunny_Varkey","Kaynak")</f>
        <v/>
      </c>
    </row>
    <row r="8" ht="30" customHeight="1">
      <c r="A8" s="8" t="n">
        <v>6</v>
      </c>
      <c r="B8" s="9" t="inlineStr">
        <is>
          <t>Milyarder Sahip/Kurucu</t>
        </is>
      </c>
      <c r="C8" s="10" t="inlineStr">
        <is>
          <t>Perakende (mücevher)</t>
        </is>
      </c>
      <c r="D8" s="10" t="inlineStr">
        <is>
          <t>Joy Alukkas</t>
        </is>
      </c>
      <c r="E8" s="10" t="inlineStr">
        <is>
          <t>Kurucu, Başkan &amp; MD</t>
        </is>
      </c>
      <c r="F8" s="10" t="inlineStr">
        <is>
          <t>Joyalukkas Group</t>
        </is>
      </c>
      <c r="G8" s="10" t="inlineStr">
        <is>
          <t>BAE (Dubai)</t>
        </is>
      </c>
      <c r="H8" s="10" t="inlineStr">
        <is>
          <t>Düşük (sahip — uzun vade)</t>
        </is>
      </c>
      <c r="I8" s="11">
        <f>HYPERLINK("https://www.linkedin.com/search/results/people/?keywords=Joy%20Alukkas","LinkedIn'de bul")</f>
        <v/>
      </c>
      <c r="J8" s="11">
        <f>HYPERLINK("https://www.joyalukkas.com","joyalukkas.com")</f>
        <v/>
      </c>
      <c r="K8" s="10" t="inlineStr">
        <is>
          <t>customercare@joyalukkas.com</t>
        </is>
      </c>
      <c r="L8" s="10" t="inlineStr">
        <is>
          <t>+971 4 2629661</t>
        </is>
      </c>
      <c r="M8" s="10" t="inlineStr"/>
      <c r="N8" s="10" t="inlineStr">
        <is>
          <t>Yaşıyor, aktif (2025-2026). | B2B: b2b@joyalukkas.com. Site JS; canlı sayfada teyit et.</t>
        </is>
      </c>
      <c r="O8" s="11">
        <f>HYPERLINK("https://en.wikipedia.org/wiki/Joy_Alukkas","Kaynak")</f>
        <v/>
      </c>
    </row>
    <row r="9" ht="30" customHeight="1">
      <c r="A9" s="8" t="n">
        <v>7</v>
      </c>
      <c r="B9" s="9" t="inlineStr">
        <is>
          <t>Milyarder Sahip/Kurucu</t>
        </is>
      </c>
      <c r="C9" s="10" t="inlineStr">
        <is>
          <t>İnşaat / sanayi</t>
        </is>
      </c>
      <c r="D9" s="10" t="inlineStr">
        <is>
          <t>B. Ravi Pillai</t>
        </is>
      </c>
      <c r="E9" s="10" t="inlineStr">
        <is>
          <t>Kurucu &amp; Başkan</t>
        </is>
      </c>
      <c r="F9" s="10" t="inlineStr">
        <is>
          <t>RP Group</t>
        </is>
      </c>
      <c r="G9" s="10" t="inlineStr">
        <is>
          <t>Bahreyn / BAE</t>
        </is>
      </c>
      <c r="H9" s="10" t="inlineStr">
        <is>
          <t>Düşük (sahip — uzun vade)</t>
        </is>
      </c>
      <c r="I9" s="11">
        <f>HYPERLINK("https://www.linkedin.com/search/results/people/?keywords=B.%20Ravi%20Pillai","LinkedIn'de bul")</f>
        <v/>
      </c>
      <c r="J9" s="11">
        <f>HYPERLINK("https://www.rpgroup.com","rpgroup.com")</f>
        <v/>
      </c>
      <c r="K9" s="10" t="inlineStr"/>
      <c r="L9" s="10" t="inlineStr"/>
      <c r="M9" s="10" t="inlineStr"/>
      <c r="N9" s="10" t="inlineStr">
        <is>
          <t>Yaşıyor, aktif (2025-2026). | DOĞRULA: rpgroup.com = Danimarkalı RiskPoint çıktı. B. Ravi Pillai'nin RP Group'unun doğru domainini teyit et (muhtemelen rpgroup.ae / rpggroup.com).</t>
        </is>
      </c>
      <c r="O9" s="11">
        <f>HYPERLINK("https://en.wikipedia.org/wiki/B._Ravi_Pillai","Kaynak")</f>
        <v/>
      </c>
    </row>
    <row r="10" ht="30" customHeight="1">
      <c r="A10" s="8" t="n">
        <v>8</v>
      </c>
      <c r="B10" s="9" t="inlineStr">
        <is>
          <t>Milyarder Sahip/Kurucu</t>
        </is>
      </c>
      <c r="C10" s="10" t="inlineStr">
        <is>
          <t>Lojistik / perakende</t>
        </is>
      </c>
      <c r="D10" s="10" t="inlineStr">
        <is>
          <t>Ibrahim Sharaf</t>
        </is>
      </c>
      <c r="E10" s="10" t="inlineStr">
        <is>
          <t>Kurucu &amp; Başkan</t>
        </is>
      </c>
      <c r="F10" s="10" t="inlineStr">
        <is>
          <t>Sharaf Group</t>
        </is>
      </c>
      <c r="G10" s="10" t="inlineStr">
        <is>
          <t>BAE (Dubai)</t>
        </is>
      </c>
      <c r="H10" s="10" t="inlineStr">
        <is>
          <t>Düşük (sahip — uzun vade)</t>
        </is>
      </c>
      <c r="I10" s="11">
        <f>HYPERLINK("https://www.linkedin.com/search/results/people/?keywords=Ibrahim%20Sharaf","LinkedIn'de bul")</f>
        <v/>
      </c>
      <c r="J10" s="11">
        <f>HYPERLINK("https://www.sharafgroup.com","sharafgroup.com")</f>
        <v/>
      </c>
      <c r="K10" s="10" t="inlineStr">
        <is>
          <t>info@sharaf.ae</t>
        </is>
      </c>
      <c r="L10" s="10" t="inlineStr">
        <is>
          <t>+971 4 3521555</t>
        </is>
      </c>
      <c r="M10" s="10" t="inlineStr">
        <is>
          <t>@sharafgroupco</t>
        </is>
      </c>
      <c r="N10" s="10" t="inlineStr">
        <is>
          <t>Başkan; grup 20+ ülkede aktif. Net servet belgesiz (özel grup). | Özel grup.</t>
        </is>
      </c>
      <c r="O10" s="11">
        <f>HYPERLINK("https://www.arabianbusiness.com/lists/power-100-290344-htmlitemid290516","Kaynak")</f>
        <v/>
      </c>
    </row>
    <row r="11" ht="30" customHeight="1">
      <c r="A11" s="8" t="n">
        <v>9</v>
      </c>
      <c r="B11" s="9" t="inlineStr">
        <is>
          <t>Milyarder Sahip/Kurucu</t>
        </is>
      </c>
      <c r="C11" s="10" t="inlineStr">
        <is>
          <t>Teknoloji</t>
        </is>
      </c>
      <c r="D11" s="10" t="inlineStr">
        <is>
          <t>Pavel Durov</t>
        </is>
      </c>
      <c r="E11" s="10" t="inlineStr">
        <is>
          <t>Kurucu &amp; CEO</t>
        </is>
      </c>
      <c r="F11" s="10" t="inlineStr">
        <is>
          <t>Telegram</t>
        </is>
      </c>
      <c r="G11" s="10" t="inlineStr">
        <is>
          <t>BAE (Dubai)</t>
        </is>
      </c>
      <c r="H11" s="10" t="inlineStr">
        <is>
          <t>Düşük (sahip — uzun vade)</t>
        </is>
      </c>
      <c r="I11" s="11">
        <f>HYPERLINK("https://www.linkedin.com/search/results/people/?keywords=Pavel%20Durov","LinkedIn'de bul")</f>
        <v/>
      </c>
      <c r="J11" s="11">
        <f>HYPERLINK("https://telegram.org","telegram.org")</f>
        <v/>
      </c>
      <c r="K11" s="10" t="inlineStr"/>
      <c r="L11" s="10" t="inlineStr"/>
      <c r="M11" s="10" t="inlineStr"/>
      <c r="N11" s="10" t="inlineStr">
        <is>
          <t>Yaşıyor, aktif (2025-2026). | DOĞRULA: Telegram kurumsal iletişim yayınlamaz; Durov'a erişim zor, düşük öncelik.</t>
        </is>
      </c>
      <c r="O11" s="11">
        <f>HYPERLINK("https://www.khaleejtimes.com/business/meet-the-top-10-uae-based-businessmen-in-forbes-worlds-billionaires-list","Kaynak")</f>
        <v/>
      </c>
    </row>
    <row r="12" ht="30" customHeight="1">
      <c r="A12" s="8" t="n">
        <v>10</v>
      </c>
      <c r="B12" s="9" t="inlineStr">
        <is>
          <t>Milyarder Sahip/Kurucu</t>
        </is>
      </c>
      <c r="C12" s="10" t="inlineStr">
        <is>
          <t>Holding / otelcilik</t>
        </is>
      </c>
      <c r="D12" s="10" t="inlineStr">
        <is>
          <t>Sheikh Faisal bin Qassim Al Thani</t>
        </is>
      </c>
      <c r="E12" s="10" t="inlineStr">
        <is>
          <t>Kurucu &amp; Başkan</t>
        </is>
      </c>
      <c r="F12" s="10" t="inlineStr">
        <is>
          <t>Al Faisal Holding</t>
        </is>
      </c>
      <c r="G12" s="10" t="inlineStr">
        <is>
          <t>Katar (Doha)</t>
        </is>
      </c>
      <c r="H12" s="10" t="inlineStr">
        <is>
          <t>Düşük (sahip — uzun vade)</t>
        </is>
      </c>
      <c r="I12" s="11">
        <f>HYPERLINK("https://www.linkedin.com/search/results/people/?keywords=Sheikh%20Faisal%20bin%20Qassim%20Al%20Thani","LinkedIn'de bul")</f>
        <v/>
      </c>
      <c r="J12" s="11">
        <f>HYPERLINK("https://www.alfaisalholding.com","alfaisalholding.com")</f>
        <v/>
      </c>
      <c r="K12" s="10" t="inlineStr">
        <is>
          <t>info@alfaisalholding.com</t>
        </is>
      </c>
      <c r="L12" s="10" t="inlineStr">
        <is>
          <t>+974 44223830</t>
        </is>
      </c>
      <c r="M12" s="10" t="inlineStr"/>
      <c r="N12" s="10" t="inlineStr">
        <is>
          <t>Yaşıyor, aktif (Kasım 2025 röportajı). | HR: hr@alfaisalholding.com. X: @AlFaisalPR. Özel.</t>
        </is>
      </c>
      <c r="O12" s="11">
        <f>HYPERLINK("https://oxfordbusinessgroup.com/articles-interviews/sheikh-faisal-bin-qassim-al-thani-chairman-al-faisal-holding","Kaynak")</f>
        <v/>
      </c>
    </row>
    <row r="13" ht="30" customHeight="1">
      <c r="A13" s="8" t="n">
        <v>11</v>
      </c>
      <c r="B13" s="9" t="inlineStr">
        <is>
          <t>Milyarder Sahip/Kurucu</t>
        </is>
      </c>
      <c r="C13" s="10" t="inlineStr">
        <is>
          <t>Finans / yatırım</t>
        </is>
      </c>
      <c r="D13" s="10" t="inlineStr">
        <is>
          <t>Sheikh Hamad bin Jassim Al Thani</t>
        </is>
      </c>
      <c r="E13" s="10" t="inlineStr">
        <is>
          <t>Başkan / Ana Yatırımcı</t>
        </is>
      </c>
      <c r="F13" s="10" t="inlineStr">
        <is>
          <t>QInvest / özel yatırımlar</t>
        </is>
      </c>
      <c r="G13" s="10" t="inlineStr">
        <is>
          <t>Katar (Doha)</t>
        </is>
      </c>
      <c r="H13" s="10" t="inlineStr">
        <is>
          <t>Düşük (sahip — uzun vade)</t>
        </is>
      </c>
      <c r="I13" s="11">
        <f>HYPERLINK("https://www.linkedin.com/search/results/people/?keywords=Sheikh%20Hamad%20bin%20Jassim%20Al%20Thani","LinkedIn'de bul")</f>
        <v/>
      </c>
      <c r="J13" s="11">
        <f>HYPERLINK("https://www.qinvest.com","qinvest.com")</f>
        <v/>
      </c>
      <c r="K13" s="10" t="inlineStr"/>
      <c r="L13" s="10" t="inlineStr"/>
      <c r="M13" s="10" t="inlineStr"/>
      <c r="N13" s="10" t="inlineStr">
        <is>
          <t>Yaşıyor; eski Katar Başbakanı, şimdi büyük özel yatırımcı. | DOĞRULA: Hamad bin Jassim erişimi özel yatırım araçları üzerinden; QInvest IR teyit et.</t>
        </is>
      </c>
      <c r="O13" s="11">
        <f>HYPERLINK("https://thepeninsulaqatar.com/article/07/04/2025/two-qataris-featured-in-forbes-2025-worlds-billionaires-list","Kaynak")</f>
        <v/>
      </c>
    </row>
    <row r="14" ht="30" customHeight="1">
      <c r="A14" s="8" t="n">
        <v>12</v>
      </c>
      <c r="B14" s="9" t="inlineStr">
        <is>
          <t>Milyarder Sahip/Kurucu</t>
        </is>
      </c>
      <c r="C14" s="10" t="inlineStr">
        <is>
          <t>Holding / otomotiv</t>
        </is>
      </c>
      <c r="D14" s="10" t="inlineStr">
        <is>
          <t>Hisham Al Mana</t>
        </is>
      </c>
      <c r="E14" s="10" t="inlineStr">
        <is>
          <t>Sahip / İcra Direktörü</t>
        </is>
      </c>
      <c r="F14" s="10" t="inlineStr">
        <is>
          <t>Al Mana Group</t>
        </is>
      </c>
      <c r="G14" s="10" t="inlineStr">
        <is>
          <t>Katar (Doha)</t>
        </is>
      </c>
      <c r="H14" s="10" t="inlineStr">
        <is>
          <t>Düşük (sahip — uzun vade)</t>
        </is>
      </c>
      <c r="I14" s="11">
        <f>HYPERLINK("https://www.linkedin.com/search/results/people/?keywords=Hisham%20Al%20Mana","LinkedIn'de bul")</f>
        <v/>
      </c>
      <c r="J14" s="11">
        <f>HYPERLINK("https://almana.com","almana.com")</f>
        <v/>
      </c>
      <c r="K14" s="10" t="inlineStr"/>
      <c r="L14" s="10" t="inlineStr"/>
      <c r="M14" s="10" t="inlineStr"/>
      <c r="N14" s="10" t="inlineStr">
        <is>
          <t>Al Mana kardeşler tarafından işletiliyor, hepsi aktif. Net servet belgesiz. | DOĞRULA: almana.com = S.H. Al Mana (sadece form). Büyük Al Mana Group almanagroup.com (group@almanagroup.com, +974 44489900). Hangisi hedef?</t>
        </is>
      </c>
      <c r="O14" s="11">
        <f>HYPERLINK("https://almana.com/about/","Kaynak")</f>
        <v/>
      </c>
    </row>
    <row r="15" ht="30" customHeight="1">
      <c r="A15" s="8" t="n">
        <v>13</v>
      </c>
      <c r="B15" s="9" t="inlineStr">
        <is>
          <t>Milyarder Sahip/Kurucu</t>
        </is>
      </c>
      <c r="C15" s="10" t="inlineStr">
        <is>
          <t>Lojistik / denizcilik</t>
        </is>
      </c>
      <c r="D15" s="10" t="inlineStr">
        <is>
          <t>Khalid Mohamed Kanoo</t>
        </is>
      </c>
      <c r="E15" s="10" t="inlineStr">
        <is>
          <t>Başkan</t>
        </is>
      </c>
      <c r="F15" s="10" t="inlineStr">
        <is>
          <t>YBA Kanoo Group</t>
        </is>
      </c>
      <c r="G15" s="10" t="inlineStr">
        <is>
          <t>Bahreyn (Manama)</t>
        </is>
      </c>
      <c r="H15" s="10" t="inlineStr">
        <is>
          <t>Düşük (sahip — uzun vade)</t>
        </is>
      </c>
      <c r="I15" s="11">
        <f>HYPERLINK("https://www.linkedin.com/search/results/people/?keywords=Khalid%20Mohamed%20Kanoo","LinkedIn'de bul")</f>
        <v/>
      </c>
      <c r="J15" s="11">
        <f>HYPERLINK("https://www.kanoo.com","kanoo.com")</f>
        <v/>
      </c>
      <c r="K15" s="10" t="inlineStr"/>
      <c r="L15" s="10" t="inlineStr">
        <is>
          <t>+973 1722 0220</t>
        </is>
      </c>
      <c r="M15" s="10" t="inlineStr">
        <is>
          <t>@ybakanoo</t>
        </is>
      </c>
      <c r="N15" s="10" t="inlineStr">
        <is>
          <t>Başkan; grup UAE/Oman/Saudi/Bahreyn'de aktif. Net servet belgesiz. | Genel mail yok; HQ Manama. Özel aile grubu.</t>
        </is>
      </c>
      <c r="O15" s="11">
        <f>HYPERLINK("https://www.zawya.com/en/world/middle-east/bahraini-groups-among-forbes-top-100-arab-family-businesses-jmtpobib","Kaynak")</f>
        <v/>
      </c>
    </row>
    <row r="16" ht="30" customHeight="1">
      <c r="A16" s="8" t="n">
        <v>14</v>
      </c>
      <c r="B16" s="9" t="inlineStr">
        <is>
          <t>Milyarder Sahip/Kurucu</t>
        </is>
      </c>
      <c r="C16" s="10" t="inlineStr">
        <is>
          <t>Holding / otelcilik</t>
        </is>
      </c>
      <c r="D16" s="10" t="inlineStr">
        <is>
          <t>Farouk Almoayyed</t>
        </is>
      </c>
      <c r="E16" s="10" t="inlineStr">
        <is>
          <t>Kurucu &amp; Başkan</t>
        </is>
      </c>
      <c r="F16" s="10" t="inlineStr">
        <is>
          <t>Almoayyed International / Gulf Hotels</t>
        </is>
      </c>
      <c r="G16" s="10" t="inlineStr">
        <is>
          <t>Bahreyn (Manama)</t>
        </is>
      </c>
      <c r="H16" s="10" t="inlineStr">
        <is>
          <t>Düşük (sahip — uzun vade)</t>
        </is>
      </c>
      <c r="I16" s="11">
        <f>HYPERLINK("https://www.linkedin.com/search/results/people/?keywords=Farouk%20Almoayyed","LinkedIn'de bul")</f>
        <v/>
      </c>
      <c r="J16" s="11">
        <f>HYPERLINK("https://www.aig.com.bh","aig.com.bh")</f>
        <v/>
      </c>
      <c r="K16" s="10" t="inlineStr">
        <is>
          <t>info@almoayyedintl.com</t>
        </is>
      </c>
      <c r="L16" s="10" t="inlineStr">
        <is>
          <t>+973 1770 0777</t>
        </is>
      </c>
      <c r="M16" s="10" t="inlineStr">
        <is>
          <t>@almoayyedinternationalgroup</t>
        </is>
      </c>
      <c r="N16" s="10" t="inlineStr">
        <is>
          <t>Başkan. DOĞRULA: güncel sağlık/görev durumunu teyit et. Net servet belgesiz. | DOĞRU SİTE: almoayyedintl.com (aig.com.bh yanıt vermedi). Alt mail: aigbah@almoayyedintl.com.bh.</t>
        </is>
      </c>
      <c r="O16" s="11">
        <f>HYPERLINK("https://www.marketscreener.com/business-leaders/Farouk-Yousuf-Khalil-Al-Moayyed-07F436-E/biography/","Kaynak")</f>
        <v/>
      </c>
    </row>
    <row r="17" ht="30" customHeight="1">
      <c r="A17" s="8" t="n">
        <v>15</v>
      </c>
      <c r="B17" s="9" t="inlineStr">
        <is>
          <t>Milyarder Sahip/Kurucu</t>
        </is>
      </c>
      <c r="C17" s="10" t="inlineStr">
        <is>
          <t>Finans (İslami yatırım)</t>
        </is>
      </c>
      <c r="D17" s="10" t="inlineStr">
        <is>
          <t>Esam Janahi</t>
        </is>
      </c>
      <c r="E17" s="10" t="inlineStr">
        <is>
          <t>Kurucu &amp; Başkan</t>
        </is>
      </c>
      <c r="F17" s="10" t="inlineStr">
        <is>
          <t>GFH Financial Group</t>
        </is>
      </c>
      <c r="G17" s="10" t="inlineStr">
        <is>
          <t>Bahreyn (Manama)</t>
        </is>
      </c>
      <c r="H17" s="10" t="inlineStr">
        <is>
          <t>Düşük (sahip — uzun vade)</t>
        </is>
      </c>
      <c r="I17" s="11">
        <f>HYPERLINK("https://www.linkedin.com/search/results/people/?keywords=Esam%20Janahi","LinkedIn'de bul")</f>
        <v/>
      </c>
      <c r="J17" s="11">
        <f>HYPERLINK("https://www.gfh.com","gfh.com")</f>
        <v/>
      </c>
      <c r="K17" s="10" t="inlineStr"/>
      <c r="L17" s="10" t="inlineStr">
        <is>
          <t>+973 17538538</t>
        </is>
      </c>
      <c r="M17" s="10" t="inlineStr">
        <is>
          <t>@gfh_bahrain</t>
        </is>
      </c>
      <c r="N17" s="10" t="inlineStr">
        <is>
          <t>Kurucu/uzun dönem başkan. DOĞRULA: güncel yönetim kurulu unvanını teyit et. | Listeli (Bahreyn/Dubai/Kuveyt). Site fetch'i engelledi; IR maili sayfada teyit et.</t>
        </is>
      </c>
      <c r="O17" s="11">
        <f>HYPERLINK("https://www.arabianbusiness.com/lists/listitemid150876","Kaynak")</f>
        <v/>
      </c>
    </row>
    <row r="18" ht="30" customHeight="1">
      <c r="A18" s="8" t="n">
        <v>16</v>
      </c>
      <c r="B18" s="9" t="inlineStr">
        <is>
          <t>Milyarder Sahip/Kurucu</t>
        </is>
      </c>
      <c r="C18" s="10" t="inlineStr">
        <is>
          <t>Enerji / madencilik</t>
        </is>
      </c>
      <c r="D18" s="10" t="inlineStr">
        <is>
          <t>Mohammed Al Barwani</t>
        </is>
      </c>
      <c r="E18" s="10" t="inlineStr">
        <is>
          <t>Kurucu &amp; Başkan</t>
        </is>
      </c>
      <c r="F18" s="10" t="inlineStr">
        <is>
          <t>MB Holding</t>
        </is>
      </c>
      <c r="G18" s="10" t="inlineStr">
        <is>
          <t>Umman (Maskat)</t>
        </is>
      </c>
      <c r="H18" s="10" t="inlineStr">
        <is>
          <t>Düşük (sahip — uzun vade)</t>
        </is>
      </c>
      <c r="I18" s="11">
        <f>HYPERLINK("https://www.linkedin.com/search/results/people/?keywords=Mohammed%20Al%20Barwani","LinkedIn'de bul")</f>
        <v/>
      </c>
      <c r="J18" s="11">
        <f>HYPERLINK("https://mbholdingco.com","mbholdingco.com")</f>
        <v/>
      </c>
      <c r="K18" s="10" t="inlineStr">
        <is>
          <t>mboman@mbholdingco.com</t>
        </is>
      </c>
      <c r="L18" s="10" t="inlineStr">
        <is>
          <t>+968 24580470</t>
        </is>
      </c>
      <c r="M18" s="10" t="inlineStr"/>
      <c r="N18" s="10" t="inlineStr">
        <is>
          <t>Yaşıyor, aktif (2024-2025). | Umman. Özel.</t>
        </is>
      </c>
      <c r="O18" s="11">
        <f>HYPERLINK("https://en.wikipedia.org/wiki/Mohammed_Al_Barwani","Kaynak")</f>
        <v/>
      </c>
    </row>
    <row r="19" ht="30" customHeight="1">
      <c r="A19" s="8" t="n">
        <v>17</v>
      </c>
      <c r="B19" s="9" t="inlineStr">
        <is>
          <t>Milyarder Sahip/Kurucu</t>
        </is>
      </c>
      <c r="C19" s="10" t="inlineStr">
        <is>
          <t>Sanayi / enerji</t>
        </is>
      </c>
      <c r="D19" s="10" t="inlineStr">
        <is>
          <t>Rashad Al Zubair</t>
        </is>
      </c>
      <c r="E19" s="10" t="inlineStr">
        <is>
          <t>Başkan</t>
        </is>
      </c>
      <c r="F19" s="10" t="inlineStr">
        <is>
          <t>The Zubair Corporation</t>
        </is>
      </c>
      <c r="G19" s="10" t="inlineStr">
        <is>
          <t>Umman (Maskat)</t>
        </is>
      </c>
      <c r="H19" s="10" t="inlineStr">
        <is>
          <t>Düşük (sahip — uzun vade)</t>
        </is>
      </c>
      <c r="I19" s="11">
        <f>HYPERLINK("https://www.linkedin.com/search/results/people/?keywords=Rashad%20Al%20Zubair","LinkedIn'de bul")</f>
        <v/>
      </c>
      <c r="J19" s="11">
        <f>HYPERLINK("https://www.zubaircorp.com","zubaircorp.com")</f>
        <v/>
      </c>
      <c r="K19" s="10" t="inlineStr"/>
      <c r="L19" s="10" t="inlineStr"/>
      <c r="M19" s="10" t="inlineStr">
        <is>
          <t>@zubair_corp</t>
        </is>
      </c>
      <c r="N19" s="10" t="inlineStr">
        <is>
          <t>Başkan, aktif (2025). Net servet belgesiz. | Site JS; mail/telefon sayfada teyit et. HQ Maskat.</t>
        </is>
      </c>
      <c r="O19" s="11">
        <f>HYPERLINK("https://www.familybusinesshistories.org/spotlights/the-zubair-corporation/","Kaynak")</f>
        <v/>
      </c>
    </row>
    <row r="20" ht="30" customHeight="1">
      <c r="A20" s="8" t="n">
        <v>18</v>
      </c>
      <c r="B20" s="9" t="inlineStr">
        <is>
          <t>Milyarder Sahip/Kurucu</t>
        </is>
      </c>
      <c r="C20" s="10" t="inlineStr">
        <is>
          <t>Otomotiv</t>
        </is>
      </c>
      <c r="D20" s="10" t="inlineStr">
        <is>
          <t>Mohammed Saud Bahwan</t>
        </is>
      </c>
      <c r="E20" s="10" t="inlineStr">
        <is>
          <t>Başkan</t>
        </is>
      </c>
      <c r="F20" s="10" t="inlineStr">
        <is>
          <t>Saud Bahwan Group</t>
        </is>
      </c>
      <c r="G20" s="10" t="inlineStr">
        <is>
          <t>Umman (Maskat)</t>
        </is>
      </c>
      <c r="H20" s="10" t="inlineStr">
        <is>
          <t>Düşük (sahip — uzun vade)</t>
        </is>
      </c>
      <c r="I20" s="11">
        <f>HYPERLINK("https://www.linkedin.com/search/results/people/?keywords=Mohammed%20Saud%20Bahwan","LinkedIn'de bul")</f>
        <v/>
      </c>
      <c r="J20" s="11">
        <f>HYPERLINK("https://saudbahwangroup.com","saudbahwangroup.com")</f>
        <v/>
      </c>
      <c r="K20" s="10" t="inlineStr">
        <is>
          <t>sbgroup@omantel.net.om</t>
        </is>
      </c>
      <c r="L20" s="10" t="inlineStr">
        <is>
          <t>+968 24578000</t>
        </is>
      </c>
      <c r="M20" s="10" t="inlineStr"/>
      <c r="N20" s="10" t="inlineStr">
        <is>
          <t>Mevcut başkan (kurucu 2008'de vefat etti). Aktif. Net servet belgesiz. | Umman. Özel.</t>
        </is>
      </c>
      <c r="O20" s="11">
        <f>HYPERLINK("https://www.toyotaoman.com/corporate/about-sbg/","Kaynak")</f>
        <v/>
      </c>
    </row>
    <row r="21" ht="30" customHeight="1">
      <c r="A21" s="8" t="n">
        <v>19</v>
      </c>
      <c r="B21" s="9" t="inlineStr">
        <is>
          <t>Milyarder Sahip/Kurucu</t>
        </is>
      </c>
      <c r="C21" s="10" t="inlineStr">
        <is>
          <t>Yatırım / holding</t>
        </is>
      </c>
      <c r="D21" s="10" t="inlineStr">
        <is>
          <t>Prince Alwaleed bin Talal</t>
        </is>
      </c>
      <c r="E21" s="10" t="inlineStr">
        <is>
          <t>Kurucu &amp; Başkan</t>
        </is>
      </c>
      <c r="F21" s="10" t="inlineStr">
        <is>
          <t>Kingdom Holding</t>
        </is>
      </c>
      <c r="G21" s="10" t="inlineStr">
        <is>
          <t>Suudi Arabistan (Riyad)</t>
        </is>
      </c>
      <c r="H21" s="10" t="inlineStr">
        <is>
          <t>Düşük (sahip — uzun vade)</t>
        </is>
      </c>
      <c r="I21" s="11">
        <f>HYPERLINK("https://www.linkedin.com/search/results/people/?keywords=Prince%20Alwaleed%20bin%20Talal","LinkedIn'de bul")</f>
        <v/>
      </c>
      <c r="J21" s="11">
        <f>HYPERLINK("https://www.kingdom.com.sa","kingdom.com.sa")</f>
        <v/>
      </c>
      <c r="K21" s="10" t="inlineStr">
        <is>
          <t>media@kingdom.com.sa</t>
        </is>
      </c>
      <c r="L21" s="10" t="inlineStr">
        <is>
          <t>+966 11 211 1111</t>
        </is>
      </c>
      <c r="M21" s="10" t="inlineStr"/>
      <c r="N21" s="10" t="inlineStr">
        <is>
          <t>Yaşıyor; 2027'ye dek başkan, aktif (Aralık 2025 haberleri). | Listeli. careers@kingdom.com.sa. X: @kingdom_khc.</t>
        </is>
      </c>
      <c r="O21" s="11">
        <f>HYPERLINK("https://www.argaam.com/en/article/articledetail/id/1737706","Kaynak")</f>
        <v/>
      </c>
    </row>
    <row r="22" ht="30" customHeight="1">
      <c r="A22" s="8" t="n">
        <v>20</v>
      </c>
      <c r="B22" s="9" t="inlineStr">
        <is>
          <t>Milyarder Sahip/Kurucu</t>
        </is>
      </c>
      <c r="C22" s="10" t="inlineStr">
        <is>
          <t>Sağlık</t>
        </is>
      </c>
      <c r="D22" s="10" t="inlineStr">
        <is>
          <t>Dr. Sulaiman Al Habib</t>
        </is>
      </c>
      <c r="E22" s="10" t="inlineStr">
        <is>
          <t>Kurucu &amp; Başkan</t>
        </is>
      </c>
      <c r="F22" s="10" t="inlineStr">
        <is>
          <t>Dr. Sulaiman Al Habib Medical (HMG)</t>
        </is>
      </c>
      <c r="G22" s="10" t="inlineStr">
        <is>
          <t>Suudi Arabistan (Riyad)</t>
        </is>
      </c>
      <c r="H22" s="10" t="inlineStr">
        <is>
          <t>Düşük (sahip — uzun vade)</t>
        </is>
      </c>
      <c r="I22" s="11">
        <f>HYPERLINK("https://www.linkedin.com/search/results/people/?keywords=Dr.%20Sulaiman%20Al%20Habib","LinkedIn'de bul")</f>
        <v/>
      </c>
      <c r="J22" s="11">
        <f>HYPERLINK("https://hmg.com","hmg.com")</f>
        <v/>
      </c>
      <c r="K22" s="10" t="inlineStr"/>
      <c r="L22" s="10" t="inlineStr">
        <is>
          <t>+966 16 316 6666</t>
        </is>
      </c>
      <c r="M22" s="10" t="inlineStr"/>
      <c r="N22" s="10" t="inlineStr">
        <is>
          <t>Yaşıyor, aktif başkan (2025). | Listeli (4013). IR sayfası JS; mail sayfada teyit et. IR: Ziyad Al Dahami.</t>
        </is>
      </c>
      <c r="O22" s="11">
        <f>HYPERLINK("https://www.cbinsights.com/company/dr-sulaiman-al-habib-medical-group","Kaynak")</f>
        <v/>
      </c>
    </row>
    <row r="23" ht="30" customHeight="1">
      <c r="A23" s="8" t="n">
        <v>21</v>
      </c>
      <c r="B23" s="9" t="inlineStr">
        <is>
          <t>Milyarder Sahip/Kurucu</t>
        </is>
      </c>
      <c r="C23" s="10" t="inlineStr">
        <is>
          <t>Holding / gıda</t>
        </is>
      </c>
      <c r="D23" s="10" t="inlineStr">
        <is>
          <t>Sulaiman Al Muhaidib</t>
        </is>
      </c>
      <c r="E23" s="10" t="inlineStr">
        <is>
          <t>Başkan</t>
        </is>
      </c>
      <c r="F23" s="10" t="inlineStr">
        <is>
          <t>Al Muhaidib Group</t>
        </is>
      </c>
      <c r="G23" s="10" t="inlineStr">
        <is>
          <t>Suudi Arabistan (Khobar)</t>
        </is>
      </c>
      <c r="H23" s="10" t="inlineStr">
        <is>
          <t>Düşük (sahip — uzun vade)</t>
        </is>
      </c>
      <c r="I23" s="11">
        <f>HYPERLINK("https://www.linkedin.com/search/results/people/?keywords=Sulaiman%20Al%20Muhaidib","LinkedIn'de bul")</f>
        <v/>
      </c>
      <c r="J23" s="11">
        <f>HYPERLINK("https://muhaidib.com","muhaidib.com")</f>
        <v/>
      </c>
      <c r="K23" s="10" t="inlineStr">
        <is>
          <t>info@muhaidib.com</t>
        </is>
      </c>
      <c r="L23" s="10" t="inlineStr">
        <is>
          <t>+966 13 845 5555</t>
        </is>
      </c>
      <c r="M23" s="10" t="inlineStr"/>
      <c r="N23" s="10" t="inlineStr">
        <is>
          <t>Yaşıyor, aktif; Savola başkanı, Almarai başkan yardımcısı. | Riyad +966 11 263 6000. Özel.</t>
        </is>
      </c>
      <c r="O23" s="11">
        <f>HYPERLINK("https://muhaidib.com/en/category/board-of-directors","Kaynak")</f>
        <v/>
      </c>
    </row>
    <row r="24" ht="30" customHeight="1">
      <c r="A24" s="8" t="n">
        <v>22</v>
      </c>
      <c r="B24" s="9" t="inlineStr">
        <is>
          <t>Milyarder Sahip/Kurucu</t>
        </is>
      </c>
      <c r="C24" s="10" t="inlineStr">
        <is>
          <t>Sağlık / eczane</t>
        </is>
      </c>
      <c r="D24" s="10" t="inlineStr">
        <is>
          <t>Abdullah Al Nahdi</t>
        </is>
      </c>
      <c r="E24" s="10" t="inlineStr">
        <is>
          <t>Kurucu &amp; Başkan Yardımcısı</t>
        </is>
      </c>
      <c r="F24" s="10" t="inlineStr">
        <is>
          <t>Nahdi Medical</t>
        </is>
      </c>
      <c r="G24" s="10" t="inlineStr">
        <is>
          <t>Suudi Arabistan (Cidde)</t>
        </is>
      </c>
      <c r="H24" s="10" t="inlineStr">
        <is>
          <t>Düşük (sahip — uzun vade)</t>
        </is>
      </c>
      <c r="I24" s="11">
        <f>HYPERLINK("https://www.linkedin.com/search/results/people/?keywords=Abdullah%20Al%20Nahdi","LinkedIn'de bul")</f>
        <v/>
      </c>
      <c r="J24" s="11">
        <f>HYPERLINK("https://nahdi.sa","nahdi.sa")</f>
        <v/>
      </c>
      <c r="K24" s="10" t="inlineStr">
        <is>
          <t>IR@nahdi.sa</t>
        </is>
      </c>
      <c r="L24" s="10" t="inlineStr">
        <is>
          <t>+966 12 653 5353</t>
        </is>
      </c>
      <c r="M24" s="10" t="inlineStr"/>
      <c r="N24" s="10" t="inlineStr">
        <is>
          <t>Yaşıyor, aktif (2025). | Listeli. IR cep: +966 55 631 5822.</t>
        </is>
      </c>
      <c r="O24" s="11">
        <f>HYPERLINK("https://www.sahmcapital.com/news/content/15-saudi-billionaires-forbes-2025","Kaynak")</f>
        <v/>
      </c>
    </row>
    <row r="25" ht="30" customHeight="1">
      <c r="A25" s="8" t="n">
        <v>23</v>
      </c>
      <c r="B25" s="9" t="inlineStr">
        <is>
          <t>Milyarder Sahip/Kurucu</t>
        </is>
      </c>
      <c r="C25" s="10" t="inlineStr">
        <is>
          <t>Medya</t>
        </is>
      </c>
      <c r="D25" s="10" t="inlineStr">
        <is>
          <t>Waleed Al Ibrahim</t>
        </is>
      </c>
      <c r="E25" s="10" t="inlineStr">
        <is>
          <t>Kurucu &amp; Başkan</t>
        </is>
      </c>
      <c r="F25" s="10" t="inlineStr">
        <is>
          <t>MBC Group</t>
        </is>
      </c>
      <c r="G25" s="10" t="inlineStr">
        <is>
          <t>Suudi Arabistan (Riyad)</t>
        </is>
      </c>
      <c r="H25" s="10" t="inlineStr">
        <is>
          <t>Düşük (sahip — uzun vade)</t>
        </is>
      </c>
      <c r="I25" s="11">
        <f>HYPERLINK("https://www.linkedin.com/search/results/people/?keywords=Waleed%20Al%20Ibrahim","LinkedIn'de bul")</f>
        <v/>
      </c>
      <c r="J25" s="11">
        <f>HYPERLINK("https://www.mbc.net","mbc.net")</f>
        <v/>
      </c>
      <c r="K25" s="10" t="inlineStr">
        <is>
          <t>care@mbc.net</t>
        </is>
      </c>
      <c r="L25" s="10" t="inlineStr">
        <is>
          <t>+966 11 268 4444</t>
        </is>
      </c>
      <c r="M25" s="10" t="inlineStr">
        <is>
          <t>@mbcgroup</t>
        </is>
      </c>
      <c r="N25" s="10" t="inlineStr">
        <is>
          <t>Yaşıyor, aktif (2025). | Listeli. Basın: contact@mbc.net. Dubai ofis +971 4 391 9999.</t>
        </is>
      </c>
      <c r="O25" s="11">
        <f>HYPERLINK("https://en.wikipedia.org/wiki/Waleed_bin_Ibrahim_Al_Ibrahim","Kaynak")</f>
        <v/>
      </c>
    </row>
    <row r="26" ht="30" customHeight="1">
      <c r="A26" s="8" t="n">
        <v>24</v>
      </c>
      <c r="B26" s="9" t="inlineStr">
        <is>
          <t>Milyarder Sahip/Kurucu</t>
        </is>
      </c>
      <c r="C26" s="10" t="inlineStr">
        <is>
          <t>İnşaat / sanayi</t>
        </is>
      </c>
      <c r="D26" s="10" t="inlineStr">
        <is>
          <t>Abdullah Al Fozan</t>
        </is>
      </c>
      <c r="E26" s="10" t="inlineStr">
        <is>
          <t>Başkan</t>
        </is>
      </c>
      <c r="F26" s="10" t="inlineStr">
        <is>
          <t>Al Fozan Holding</t>
        </is>
      </c>
      <c r="G26" s="10" t="inlineStr">
        <is>
          <t>Suudi Arabistan (Khobar)</t>
        </is>
      </c>
      <c r="H26" s="10" t="inlineStr">
        <is>
          <t>Düşük (sahip — uzun vade)</t>
        </is>
      </c>
      <c r="I26" s="11">
        <f>HYPERLINK("https://www.linkedin.com/search/results/people/?keywords=Abdullah%20Al%20Fozan","LinkedIn'de bul")</f>
        <v/>
      </c>
      <c r="J26" s="11">
        <f>HYPERLINK("https://alfozan.com","alfozan.com")</f>
        <v/>
      </c>
      <c r="K26" s="10" t="inlineStr">
        <is>
          <t>info@alfozan.com</t>
        </is>
      </c>
      <c r="L26" s="10" t="inlineStr">
        <is>
          <t>+966 13 894 0909</t>
        </is>
      </c>
      <c r="M26" s="10" t="inlineStr">
        <is>
          <t>@alfozanholding</t>
        </is>
      </c>
      <c r="N26" s="10" t="inlineStr">
        <is>
          <t>Yaşıyor, aktif başkan (2009'dan beri). | Toll 8003022222. Özel.</t>
        </is>
      </c>
      <c r="O26" s="11">
        <f>HYPERLINK("https://alfozan.com/chairman-message","Kaynak")</f>
        <v/>
      </c>
    </row>
    <row r="27" ht="30" customHeight="1">
      <c r="A27" s="8" t="n">
        <v>25</v>
      </c>
      <c r="B27" s="9" t="inlineStr">
        <is>
          <t>Milyarder Sahip/Kurucu</t>
        </is>
      </c>
      <c r="C27" s="10" t="inlineStr">
        <is>
          <t>Otomotiv / yatırım</t>
        </is>
      </c>
      <c r="D27" s="10" t="inlineStr">
        <is>
          <t>Mohammed Abdul Latif Jameel</t>
        </is>
      </c>
      <c r="E27" s="10" t="inlineStr">
        <is>
          <t>Başkan &amp; CEO</t>
        </is>
      </c>
      <c r="F27" s="10" t="inlineStr">
        <is>
          <t>Abdul Latif Jameel (ALJ)</t>
        </is>
      </c>
      <c r="G27" s="10" t="inlineStr">
        <is>
          <t>Suudi Arabistan (Cidde)</t>
        </is>
      </c>
      <c r="H27" s="10" t="inlineStr">
        <is>
          <t>Düşük (sahip — uzun vade)</t>
        </is>
      </c>
      <c r="I27" s="11">
        <f>HYPERLINK("https://www.linkedin.com/search/results/people/?keywords=Mohammed%20Abdul%20Latif%20Jameel","LinkedIn'de bul")</f>
        <v/>
      </c>
      <c r="J27" s="11">
        <f>HYPERLINK("https://alj.com","alj.com")</f>
        <v/>
      </c>
      <c r="K27" s="10" t="inlineStr"/>
      <c r="L27" s="10" t="inlineStr"/>
      <c r="M27" s="10" t="inlineStr">
        <is>
          <t>@abdul_latif_jameel_official</t>
        </is>
      </c>
      <c r="N27" s="10" t="inlineStr">
        <is>
          <t>Yaşıyor, aktif başkan &amp; CEO (2025, 80. yıl). | Sadece form; mail/telefon yayınlamıyor. Özel.</t>
        </is>
      </c>
      <c r="O27" s="11">
        <f>HYPERLINK("https://alj.com/en/our-people/mohammed-abdul-latif-jameel/","Kaynak")</f>
        <v/>
      </c>
    </row>
    <row r="28" ht="30" customHeight="1">
      <c r="A28" s="8" t="n">
        <v>26</v>
      </c>
      <c r="B28" s="9" t="inlineStr">
        <is>
          <t>Milyarder Sahip/Kurucu</t>
        </is>
      </c>
      <c r="C28" s="10" t="inlineStr">
        <is>
          <t>Perakende / market</t>
        </is>
      </c>
      <c r="D28" s="10" t="inlineStr">
        <is>
          <t>Abdullah Al Othaim</t>
        </is>
      </c>
      <c r="E28" s="10" t="inlineStr">
        <is>
          <t>Kurucu &amp; Başkan</t>
        </is>
      </c>
      <c r="F28" s="10" t="inlineStr">
        <is>
          <t>Al-Othaim Markets</t>
        </is>
      </c>
      <c r="G28" s="10" t="inlineStr">
        <is>
          <t>Suudi Arabistan (Riyad)</t>
        </is>
      </c>
      <c r="H28" s="10" t="inlineStr">
        <is>
          <t>Düşük (sahip — uzun vade)</t>
        </is>
      </c>
      <c r="I28" s="11">
        <f>HYPERLINK("https://www.linkedin.com/search/results/people/?keywords=Abdullah%20Al%20Othaim","LinkedIn'de bul")</f>
        <v/>
      </c>
      <c r="J28" s="11">
        <f>HYPERLINK("https://www.othaimmarkets.com","othaimmarkets.com")</f>
        <v/>
      </c>
      <c r="K28" s="10" t="inlineStr">
        <is>
          <t>ir@othaimmarkets.com</t>
        </is>
      </c>
      <c r="L28" s="10" t="inlineStr">
        <is>
          <t>+966 11 829 9905</t>
        </is>
      </c>
      <c r="M28" s="10" t="inlineStr">
        <is>
          <t>@othaimmarkets</t>
        </is>
      </c>
      <c r="N28" s="10" t="inlineStr">
        <is>
          <t>Yaşıyor, aktif başkan (2025). | Listeli (4001).</t>
        </is>
      </c>
      <c r="O28" s="11">
        <f>HYPERLINK("https://en.wikipedia.org/wiki/Abdullah_Al-Othaim_Markets","Kaynak")</f>
        <v/>
      </c>
    </row>
    <row r="29" ht="30" customHeight="1">
      <c r="A29" s="8" t="n">
        <v>27</v>
      </c>
      <c r="B29" s="9" t="inlineStr">
        <is>
          <t>Milyarder Sahip/Kurucu</t>
        </is>
      </c>
      <c r="C29" s="10" t="inlineStr">
        <is>
          <t>Yatırım / dağıtım</t>
        </is>
      </c>
      <c r="D29" s="10" t="inlineStr">
        <is>
          <t>Lubna Al Olayan</t>
        </is>
      </c>
      <c r="E29" s="10" t="inlineStr">
        <is>
          <t>Kurumsal Yönetim Kurulu Başkanı</t>
        </is>
      </c>
      <c r="F29" s="10" t="inlineStr">
        <is>
          <t>The Olayan Group</t>
        </is>
      </c>
      <c r="G29" s="10" t="inlineStr">
        <is>
          <t>Suudi Arabistan (Riyad)</t>
        </is>
      </c>
      <c r="H29" s="10" t="inlineStr">
        <is>
          <t>Düşük (sahip — uzun vade)</t>
        </is>
      </c>
      <c r="I29" s="11">
        <f>HYPERLINK("https://www.linkedin.com/search/results/people/?keywords=Lubna%20Al%20Olayan","LinkedIn'de bul")</f>
        <v/>
      </c>
      <c r="J29" s="11">
        <f>HYPERLINK("https://www.olayan.com","olayan.com")</f>
        <v/>
      </c>
      <c r="K29" s="10" t="inlineStr"/>
      <c r="L29" s="10" t="inlineStr">
        <is>
          <t>+966 11 839 2000</t>
        </is>
      </c>
      <c r="M29" s="10" t="inlineStr">
        <is>
          <t>@theolayangroup</t>
        </is>
      </c>
      <c r="N29" s="10" t="inlineStr">
        <is>
          <t>Yaşıyor, aktif; Olayan kurumsal kurul başkanı (2025). | Özel; genel mail yok. IG teyitsiz. Londra +44 207 245 4000.</t>
        </is>
      </c>
      <c r="O29" s="11">
        <f>HYPERLINK("https://en.wikipedia.org/wiki/Lubna_Olayan","Kaynak")</f>
        <v/>
      </c>
    </row>
    <row r="30" ht="30" customHeight="1">
      <c r="A30" s="8" t="n">
        <v>28</v>
      </c>
      <c r="B30" s="9" t="inlineStr">
        <is>
          <t>Milyarder Sahip/Kurucu</t>
        </is>
      </c>
      <c r="C30" s="10" t="inlineStr">
        <is>
          <t>Gıda &amp; içecek</t>
        </is>
      </c>
      <c r="D30" s="10" t="inlineStr">
        <is>
          <t>Prince Naif bin Sultan</t>
        </is>
      </c>
      <c r="E30" s="10" t="inlineStr">
        <is>
          <t>Başkan</t>
        </is>
      </c>
      <c r="F30" s="10" t="inlineStr">
        <is>
          <t>Almarai / Sultan Holding</t>
        </is>
      </c>
      <c r="G30" s="10" t="inlineStr">
        <is>
          <t>Suudi Arabistan (Riyad)</t>
        </is>
      </c>
      <c r="H30" s="10" t="inlineStr">
        <is>
          <t>Düşük (sahip — uzun vade)</t>
        </is>
      </c>
      <c r="I30" s="11">
        <f>HYPERLINK("https://www.linkedin.com/search/results/people/?keywords=Prince%20Naif%20bin%20Sultan","LinkedIn'de bul")</f>
        <v/>
      </c>
      <c r="J30" s="11">
        <f>HYPERLINK("https://www.almarai.com","almarai.com")</f>
        <v/>
      </c>
      <c r="K30" s="10" t="inlineStr">
        <is>
          <t>investor.relations@almarai.com</t>
        </is>
      </c>
      <c r="L30" s="10" t="inlineStr">
        <is>
          <t>+966 11 470 0005</t>
        </is>
      </c>
      <c r="M30" s="10" t="inlineStr"/>
      <c r="N30" s="10" t="inlineStr">
        <is>
          <t>Yaşıyor; 2025'te yeniden başkan seçildi (OĞUL; kurucu baba 2024'te vefat etti). | Listeli (2280). IR WhatsApp: +966 55 470 0101.</t>
        </is>
      </c>
      <c r="O30" s="11">
        <f>HYPERLINK("https://dairybusinessmea.com/2025/08/12/almarai-re-elects-prince-naif-bin-sultan-as-chairman/","Kaynak")</f>
        <v/>
      </c>
    </row>
    <row r="31" ht="30" customHeight="1">
      <c r="A31" s="8" t="n">
        <v>29</v>
      </c>
      <c r="B31" s="9" t="inlineStr">
        <is>
          <t>Milyarder Sahip/Kurucu</t>
        </is>
      </c>
      <c r="C31" s="10" t="inlineStr">
        <is>
          <t>Bankacılık</t>
        </is>
      </c>
      <c r="D31" s="10" t="inlineStr">
        <is>
          <t>Abdullah bin Sulaiman Al Rajhi</t>
        </is>
      </c>
      <c r="E31" s="10" t="inlineStr">
        <is>
          <t>Başkan</t>
        </is>
      </c>
      <c r="F31" s="10" t="inlineStr">
        <is>
          <t>Al Rajhi Bank</t>
        </is>
      </c>
      <c r="G31" s="10" t="inlineStr">
        <is>
          <t>Suudi Arabistan (Riyad)</t>
        </is>
      </c>
      <c r="H31" s="10" t="inlineStr">
        <is>
          <t>Düşük (sahip — uzun vade)</t>
        </is>
      </c>
      <c r="I31" s="11">
        <f>HYPERLINK("https://www.linkedin.com/search/results/people/?keywords=Abdullah%20bin%20Sulaiman%20Al%20Rajhi","LinkedIn'de bul")</f>
        <v/>
      </c>
      <c r="J31" s="11">
        <f>HYPERLINK("https://www.alrajhibank.com.sa","alrajhibank.com.sa")</f>
        <v/>
      </c>
      <c r="K31" s="10" t="inlineStr">
        <is>
          <t>care@alrajhibank.com.sa</t>
        </is>
      </c>
      <c r="L31" s="10" t="inlineStr">
        <is>
          <t>+966 11 2116000</t>
        </is>
      </c>
      <c r="M31" s="10" t="inlineStr"/>
      <c r="N31" s="10" t="inlineStr">
        <is>
          <t>Yaşıyor, aktif başkan (2025). | Listeli (1120). IR ayrı mail yayınlamıyor; uygulama üzerinden.</t>
        </is>
      </c>
      <c r="O31" s="11">
        <f>HYPERLINK("https://www.alrajhibank.com.sa/en/About-alrajhi-bank/Board-Members","Kaynak")</f>
        <v/>
      </c>
    </row>
    <row r="32" ht="30" customHeight="1">
      <c r="A32" s="8" t="n">
        <v>30</v>
      </c>
      <c r="B32" s="9" t="inlineStr">
        <is>
          <t>Milyarder Sahip/Kurucu</t>
        </is>
      </c>
      <c r="C32" s="10" t="inlineStr">
        <is>
          <t>Enerji / sanayi</t>
        </is>
      </c>
      <c r="D32" s="10" t="inlineStr">
        <is>
          <t>Mohammed Al Amoudi</t>
        </is>
      </c>
      <c r="E32" s="10" t="inlineStr">
        <is>
          <t>Kurucu &amp; Sahip</t>
        </is>
      </c>
      <c r="F32" s="10" t="inlineStr">
        <is>
          <t>MIDROC / Corral (Preem)</t>
        </is>
      </c>
      <c r="G32" s="10" t="inlineStr">
        <is>
          <t>Suudi Arabistan / uluslararası</t>
        </is>
      </c>
      <c r="H32" s="10" t="inlineStr">
        <is>
          <t>Düşük (sahip — uzun vade)</t>
        </is>
      </c>
      <c r="I32" s="11">
        <f>HYPERLINK("https://www.linkedin.com/search/results/people/?keywords=Mohammed%20Al%20Amoudi","LinkedIn'de bul")</f>
        <v/>
      </c>
      <c r="J32" s="11">
        <f>HYPERLINK("https://www.corral.se","corral.se")</f>
        <v/>
      </c>
      <c r="K32" s="10" t="inlineStr"/>
      <c r="L32" s="10" t="inlineStr"/>
      <c r="M32" s="10" t="inlineStr"/>
      <c r="N32" s="10" t="inlineStr">
        <is>
          <t>Yaşıyor, aktif (2025). | corral.se → preem.com (MIDROC/Al Amoudi). Genel mail/telefon yok; bono iletişimi adlı kişi üzerinden.</t>
        </is>
      </c>
      <c r="O32" s="11">
        <f>HYPERLINK("https://www.bloomberg.com/billionaires/profiles/mohammed-al-amoudi/","Kaynak")</f>
        <v/>
      </c>
    </row>
    <row r="33" ht="30" customHeight="1">
      <c r="A33" s="8" t="n">
        <v>31</v>
      </c>
      <c r="B33" s="9" t="inlineStr">
        <is>
          <t>Milyarder Sahip/Kurucu</t>
        </is>
      </c>
      <c r="C33" s="10" t="inlineStr">
        <is>
          <t>Holding / otomotiv</t>
        </is>
      </c>
      <c r="D33" s="10" t="inlineStr">
        <is>
          <t>Kutayba Alghanim</t>
        </is>
      </c>
      <c r="E33" s="10" t="inlineStr">
        <is>
          <t>İcra Başkanı</t>
        </is>
      </c>
      <c r="F33" s="10" t="inlineStr">
        <is>
          <t>Alghanim Industries</t>
        </is>
      </c>
      <c r="G33" s="10" t="inlineStr">
        <is>
          <t>Kuveyt (Kuveyt City)</t>
        </is>
      </c>
      <c r="H33" s="10" t="inlineStr">
        <is>
          <t>Düşük (sahip — uzun vade)</t>
        </is>
      </c>
      <c r="I33" s="11">
        <f>HYPERLINK("https://www.linkedin.com/search/results/people/?keywords=Kutayba%20Alghanim","LinkedIn'de bul")</f>
        <v/>
      </c>
      <c r="J33" s="11">
        <f>HYPERLINK("https://www.alghanim.com","alghanim.com")</f>
        <v/>
      </c>
      <c r="K33" s="10" t="inlineStr">
        <is>
          <t>compliance@alghanim.com</t>
        </is>
      </c>
      <c r="L33" s="10" t="inlineStr">
        <is>
          <t>+965 2496 2000</t>
        </is>
      </c>
      <c r="M33" s="10" t="inlineStr"/>
      <c r="N33" s="10" t="inlineStr">
        <is>
          <t>Yaşıyor, aktif icra başkanı (2025). | Özel. Genel info@ yok; form üzerinden. compliance@ uyum içindir.</t>
        </is>
      </c>
      <c r="O33" s="11">
        <f>HYPERLINK("https://www.alghanim.com/about-us/executive-team/kutayba-y-alghanim","Kaynak")</f>
        <v/>
      </c>
    </row>
    <row r="34" ht="30" customHeight="1">
      <c r="A34" s="8" t="n">
        <v>32</v>
      </c>
      <c r="B34" s="9" t="inlineStr">
        <is>
          <t>Milyarder Sahip/Kurucu</t>
        </is>
      </c>
      <c r="C34" s="10" t="inlineStr">
        <is>
          <t>Holding / bankacılık</t>
        </is>
      </c>
      <c r="D34" s="10" t="inlineStr">
        <is>
          <t>Bassam Alghanim</t>
        </is>
      </c>
      <c r="E34" s="10" t="inlineStr">
        <is>
          <t>Ana Ortak / Sahip</t>
        </is>
      </c>
      <c r="F34" s="10" t="inlineStr">
        <is>
          <t>Alghanim / Gulf Bank payı</t>
        </is>
      </c>
      <c r="G34" s="10" t="inlineStr">
        <is>
          <t>Kuveyt (Kuveyt City)</t>
        </is>
      </c>
      <c r="H34" s="10" t="inlineStr">
        <is>
          <t>Düşük (sahip — uzun vade)</t>
        </is>
      </c>
      <c r="I34" s="11">
        <f>HYPERLINK("https://www.linkedin.com/search/results/people/?keywords=Bassam%20Alghanim","LinkedIn'de bul")</f>
        <v/>
      </c>
      <c r="J34" s="11">
        <f>HYPERLINK("https://www.alghanim.com","alghanim.com")</f>
        <v/>
      </c>
      <c r="K34" s="10" t="inlineStr">
        <is>
          <t>compliance@alghanim.com</t>
        </is>
      </c>
      <c r="L34" s="10" t="inlineStr">
        <is>
          <t>+965 2496 2000</t>
        </is>
      </c>
      <c r="M34" s="10" t="inlineStr"/>
      <c r="N34" s="10" t="inlineStr">
        <is>
          <t>Yaşıyor (2025); ana ortak (operasyonel başkan değil). | Özel. Genel info@ yok; form üzerinden. compliance@ uyum içindir.</t>
        </is>
      </c>
      <c r="O34" s="11">
        <f>HYPERLINK("https://www.celebritynetworth.com/richest-businessmen/ceos/bassam-alghanim-net-worth/","Kaynak")</f>
        <v/>
      </c>
    </row>
    <row r="35" ht="30" customHeight="1">
      <c r="A35" s="8" t="n">
        <v>33</v>
      </c>
      <c r="B35" s="9" t="inlineStr">
        <is>
          <t>Milyarder Sahip/Kurucu</t>
        </is>
      </c>
      <c r="C35" s="10" t="inlineStr">
        <is>
          <t>Perakende / gayrimenkul</t>
        </is>
      </c>
      <c r="D35" s="10" t="inlineStr">
        <is>
          <t>Mohammed Alshaya</t>
        </is>
      </c>
      <c r="E35" s="10" t="inlineStr">
        <is>
          <t>İcra Başkanı</t>
        </is>
      </c>
      <c r="F35" s="10" t="inlineStr">
        <is>
          <t>Alshaya Group / Mabanee</t>
        </is>
      </c>
      <c r="G35" s="10" t="inlineStr">
        <is>
          <t>Kuveyt (Kuveyt City)</t>
        </is>
      </c>
      <c r="H35" s="10" t="inlineStr">
        <is>
          <t>Düşük (sahip — uzun vade)</t>
        </is>
      </c>
      <c r="I35" s="11">
        <f>HYPERLINK("https://www.linkedin.com/search/results/people/?keywords=Mohammed%20Alshaya","LinkedIn'de bul")</f>
        <v/>
      </c>
      <c r="J35" s="11">
        <f>HYPERLINK("https://www.alshaya.com","alshaya.com")</f>
        <v/>
      </c>
      <c r="K35" s="10" t="inlineStr">
        <is>
          <t>alshaya.group@alshaya.com</t>
        </is>
      </c>
      <c r="L35" s="10" t="inlineStr">
        <is>
          <t>+965 2225 5555</t>
        </is>
      </c>
      <c r="M35" s="10" t="inlineStr"/>
      <c r="N35" s="10" t="inlineStr">
        <is>
          <t>Yaşıyor, aktif icra başkanı (2007'den beri). | Özel. Tedarik: central.procurement@alshaya.com.</t>
        </is>
      </c>
      <c r="O35" s="11">
        <f>HYPERLINK("https://www.alshaya.com/en/media-centre/alshaya-news/mohammed-alshaya-named-kuwaits-businessman-of-the-year-for-the-second-successive-year/","Kaynak")</f>
        <v/>
      </c>
    </row>
    <row r="36" ht="30" customHeight="1">
      <c r="A36" s="8" t="n">
        <v>34</v>
      </c>
      <c r="B36" s="9" t="inlineStr">
        <is>
          <t>Milyarder Sahip/Kurucu</t>
        </is>
      </c>
      <c r="C36" s="10" t="inlineStr">
        <is>
          <t>Telekom / bankacılık</t>
        </is>
      </c>
      <c r="D36" s="10" t="inlineStr">
        <is>
          <t>Bader Al Kharafi</t>
        </is>
      </c>
      <c r="E36" s="10" t="inlineStr">
        <is>
          <t>Başkan Yrd. &amp; Grup CEO</t>
        </is>
      </c>
      <c r="F36" s="10" t="inlineStr">
        <is>
          <t>Zain Group / Gulf Bank</t>
        </is>
      </c>
      <c r="G36" s="10" t="inlineStr">
        <is>
          <t>Kuveyt (Kuveyt City)</t>
        </is>
      </c>
      <c r="H36" s="10" t="inlineStr">
        <is>
          <t>Düşük (sahip — uzun vade)</t>
        </is>
      </c>
      <c r="I36" s="11">
        <f>HYPERLINK("https://www.linkedin.com/search/results/people/?keywords=Bader%20Al%20Kharafi","LinkedIn'de bul")</f>
        <v/>
      </c>
      <c r="J36" s="11">
        <f>HYPERLINK("https://www.zain.com","zain.com")</f>
        <v/>
      </c>
      <c r="K36" s="10" t="inlineStr">
        <is>
          <t>info@zain.com</t>
        </is>
      </c>
      <c r="L36" s="10" t="inlineStr">
        <is>
          <t>+965 2464 4444</t>
        </is>
      </c>
      <c r="M36" s="10" t="inlineStr">
        <is>
          <t>@zaingroup</t>
        </is>
      </c>
      <c r="N36" s="10" t="inlineStr">
        <is>
          <t>Yaşıyor, aktif (2025). | Listeli (Boursa Kuwait: ZAIN).</t>
        </is>
      </c>
      <c r="O36" s="11">
        <f>HYPERLINK("https://gulfbusiness.com/lists/100-most-powerful-arabs-2025/","Kaynak")</f>
        <v/>
      </c>
    </row>
    <row r="37" ht="30" customHeight="1">
      <c r="A37" s="8" t="n">
        <v>35</v>
      </c>
      <c r="B37" s="9" t="inlineStr">
        <is>
          <t>Milyarder Sahip/Kurucu</t>
        </is>
      </c>
      <c r="C37" s="10" t="inlineStr">
        <is>
          <t>Havacılık / holding</t>
        </is>
      </c>
      <c r="D37" s="10" t="inlineStr">
        <is>
          <t>Marwan Boodai</t>
        </is>
      </c>
      <c r="E37" s="10" t="inlineStr">
        <is>
          <t>Kurucu Ortak, Başkan &amp; CEO</t>
        </is>
      </c>
      <c r="F37" s="10" t="inlineStr">
        <is>
          <t>Jazeera Airways / BoodaiCorp</t>
        </is>
      </c>
      <c r="G37" s="10" t="inlineStr">
        <is>
          <t>Kuveyt (Kuveyt City)</t>
        </is>
      </c>
      <c r="H37" s="10" t="inlineStr">
        <is>
          <t>Düşük (sahip — uzun vade)</t>
        </is>
      </c>
      <c r="I37" s="11">
        <f>HYPERLINK("https://www.linkedin.com/search/results/people/?keywords=Marwan%20Boodai","LinkedIn'de bul")</f>
        <v/>
      </c>
      <c r="J37" s="11">
        <f>HYPERLINK("https://www.jazeeraairways.com","jazeeraairways.com")</f>
        <v/>
      </c>
      <c r="K37" s="10" t="inlineStr">
        <is>
          <t>investorrelations@jazeeraairways.com</t>
        </is>
      </c>
      <c r="L37" s="10" t="inlineStr">
        <is>
          <t>+965 2224 8670</t>
        </is>
      </c>
      <c r="M37" s="10" t="inlineStr">
        <is>
          <t>@jazeera__airways</t>
        </is>
      </c>
      <c r="N37" s="10" t="inlineStr">
        <is>
          <t>Yaşıyor, aktif başkan &amp; CEO (2025). | Listeli (Boursa Kuwait: JAZEERA).</t>
        </is>
      </c>
      <c r="O37" s="11">
        <f>HYPERLINK("https://en.wikipedia.org/wiki/Marwan_Boodai","Kaynak")</f>
        <v/>
      </c>
    </row>
    <row r="38" ht="30" customHeight="1">
      <c r="A38" s="8" t="n">
        <v>36</v>
      </c>
      <c r="B38" s="12" t="inlineStr">
        <is>
          <t>Profesyonel Yönetici</t>
        </is>
      </c>
      <c r="C38" s="10" t="inlineStr">
        <is>
          <t>Bankacılık</t>
        </is>
      </c>
      <c r="D38" s="10" t="inlineStr">
        <is>
          <t>Shayne Nelson</t>
        </is>
      </c>
      <c r="E38" s="10" t="inlineStr">
        <is>
          <t>Grup CEO</t>
        </is>
      </c>
      <c r="F38" s="10" t="inlineStr">
        <is>
          <t>Emirates NBD</t>
        </is>
      </c>
      <c r="G38" s="10" t="inlineStr">
        <is>
          <t>BAE (Dubai)</t>
        </is>
      </c>
      <c r="H38" s="13" t="inlineStr">
        <is>
          <t>Yüksek (profesyonel)</t>
        </is>
      </c>
      <c r="I38" s="11">
        <f>HYPERLINK("https://www.linkedin.com/search/results/people/?keywords=Shayne%20Nelson%20Emirates%20NBD","LinkedIn'de bul")</f>
        <v/>
      </c>
      <c r="J38" s="11">
        <f>HYPERLINK("https://www.emiratesnbd.com","emiratesnbd.com")</f>
        <v/>
      </c>
      <c r="K38" s="10" t="inlineStr"/>
      <c r="L38" s="10" t="inlineStr"/>
      <c r="M38" s="10" t="inlineStr"/>
      <c r="N38" s="10" t="inlineStr">
        <is>
          <t>2025 itibarıyla Grup CEO.</t>
        </is>
      </c>
      <c r="O38" s="11">
        <f>HYPERLINK("https://www.emiratesnbd.com/en/about-emirates-nbd/corporate-governance/management-team/shaynenelson","Kaynak")</f>
        <v/>
      </c>
    </row>
    <row r="39" ht="30" customHeight="1">
      <c r="A39" s="8" t="n">
        <v>37</v>
      </c>
      <c r="B39" s="12" t="inlineStr">
        <is>
          <t>Profesyonel Yönetici</t>
        </is>
      </c>
      <c r="C39" s="10" t="inlineStr">
        <is>
          <t>Telekom</t>
        </is>
      </c>
      <c r="D39" s="10" t="inlineStr">
        <is>
          <t>Karim Bennis</t>
        </is>
      </c>
      <c r="E39" s="10" t="inlineStr">
        <is>
          <t>Grup CFO</t>
        </is>
      </c>
      <c r="F39" s="10" t="inlineStr">
        <is>
          <t>e&amp; (Etisalat Group)</t>
        </is>
      </c>
      <c r="G39" s="10" t="inlineStr">
        <is>
          <t>BAE (Abu Dabi)</t>
        </is>
      </c>
      <c r="H39" s="13" t="inlineStr">
        <is>
          <t>Yüksek (profesyonel)</t>
        </is>
      </c>
      <c r="I39" s="11">
        <f>HYPERLINK("https://www.linkedin.com/search/results/people/?keywords=Karim%20Bennis%20e%26%20CFO","LinkedIn'de bul")</f>
        <v/>
      </c>
      <c r="J39" s="11">
        <f>HYPERLINK("https://www.eand.com","eand.com")</f>
        <v/>
      </c>
      <c r="K39" s="10" t="inlineStr"/>
      <c r="L39" s="10" t="inlineStr"/>
      <c r="M39" s="10" t="inlineStr"/>
      <c r="N39" s="10" t="inlineStr">
        <is>
          <t>Nisan 2025 itibarıyla Grup CFO.</t>
        </is>
      </c>
      <c r="O39" s="11">
        <f>HYPERLINK("https://www.eand.com/en/whoweare/senior-management.html","Kaynak")</f>
        <v/>
      </c>
    </row>
    <row r="40" ht="30" customHeight="1">
      <c r="A40" s="8" t="n">
        <v>38</v>
      </c>
      <c r="B40" s="12" t="inlineStr">
        <is>
          <t>Profesyonel Yönetici</t>
        </is>
      </c>
      <c r="C40" s="10" t="inlineStr">
        <is>
          <t>Perakende / holding</t>
        </is>
      </c>
      <c r="D40" s="10" t="inlineStr">
        <is>
          <t>Ahmed Galal Ismail</t>
        </is>
      </c>
      <c r="E40" s="10" t="inlineStr">
        <is>
          <t>CEO (Holding)</t>
        </is>
      </c>
      <c r="F40" s="10" t="inlineStr">
        <is>
          <t>Majid Al Futtaim</t>
        </is>
      </c>
      <c r="G40" s="10" t="inlineStr">
        <is>
          <t>BAE (Dubai)</t>
        </is>
      </c>
      <c r="H40" s="13" t="inlineStr">
        <is>
          <t>Yüksek (profesyonel)</t>
        </is>
      </c>
      <c r="I40" s="11">
        <f>HYPERLINK("https://www.linkedin.com/search/results/people/?keywords=Ahmed%20Galal%20Ismail%20Majid%20Al%20Futtaim","LinkedIn'de bul")</f>
        <v/>
      </c>
      <c r="J40" s="11">
        <f>HYPERLINK("https://www.majidalfuttaim.com","majidalfuttaim.com")</f>
        <v/>
      </c>
      <c r="K40" s="10" t="inlineStr"/>
      <c r="L40" s="10" t="inlineStr"/>
      <c r="M40" s="10" t="inlineStr"/>
      <c r="N40" s="10" t="inlineStr">
        <is>
          <t>2025 itibarıyla Holding CEO.</t>
        </is>
      </c>
      <c r="O40" s="11">
        <f>HYPERLINK("https://www.majidalfuttaim.com/en/who-we-are/management","Kaynak")</f>
        <v/>
      </c>
    </row>
    <row r="41" ht="30" customHeight="1">
      <c r="A41" s="8" t="n">
        <v>39</v>
      </c>
      <c r="B41" s="12" t="inlineStr">
        <is>
          <t>Profesyonel Yönetici</t>
        </is>
      </c>
      <c r="C41" s="10" t="inlineStr">
        <is>
          <t>Bankacılık</t>
        </is>
      </c>
      <c r="D41" s="10" t="inlineStr">
        <is>
          <t>Hana Al Rostamani</t>
        </is>
      </c>
      <c r="E41" s="10" t="inlineStr">
        <is>
          <t>Grup CEO</t>
        </is>
      </c>
      <c r="F41" s="10" t="inlineStr">
        <is>
          <t>First Abu Dhabi Bank (FAB)</t>
        </is>
      </c>
      <c r="G41" s="10" t="inlineStr">
        <is>
          <t>BAE (Abu Dabi)</t>
        </is>
      </c>
      <c r="H41" s="13" t="inlineStr">
        <is>
          <t>Yüksek (profesyonel)</t>
        </is>
      </c>
      <c r="I41" s="11">
        <f>HYPERLINK("https://www.linkedin.com/search/results/people/?keywords=Hana%20Al%20Rostamani%20FAB","LinkedIn'de bul")</f>
        <v/>
      </c>
      <c r="J41" s="11">
        <f>HYPERLINK("https://www.bankfab.com","bankfab.com")</f>
        <v/>
      </c>
      <c r="K41" s="10" t="inlineStr"/>
      <c r="L41" s="10" t="inlineStr"/>
      <c r="M41" s="10" t="inlineStr"/>
      <c r="N41" s="10" t="inlineStr">
        <is>
          <t>2025 itibarıyla Grup CEO.</t>
        </is>
      </c>
      <c r="O41" s="11">
        <f>HYPERLINK("https://www.bankfab.com/en-ae/about-fab/group/senior-management","Kaynak")</f>
        <v/>
      </c>
    </row>
    <row r="42" ht="30" customHeight="1">
      <c r="A42" s="8" t="n">
        <v>40</v>
      </c>
      <c r="B42" s="12" t="inlineStr">
        <is>
          <t>Profesyonel Yönetici</t>
        </is>
      </c>
      <c r="C42" s="10" t="inlineStr">
        <is>
          <t>Telekom</t>
        </is>
      </c>
      <c r="D42" s="10" t="inlineStr">
        <is>
          <t>Fahad Al Hassawi</t>
        </is>
      </c>
      <c r="E42" s="10" t="inlineStr">
        <is>
          <t>Grup CEO</t>
        </is>
      </c>
      <c r="F42" s="10" t="inlineStr">
        <is>
          <t>du (EITC)</t>
        </is>
      </c>
      <c r="G42" s="10" t="inlineStr">
        <is>
          <t>BAE (Dubai)</t>
        </is>
      </c>
      <c r="H42" s="13" t="inlineStr">
        <is>
          <t>Yüksek (profesyonel)</t>
        </is>
      </c>
      <c r="I42" s="11">
        <f>HYPERLINK("https://www.linkedin.com/search/results/people/?keywords=Fahad%20Al%20Hassawi%20du%20EITC","LinkedIn'de bul")</f>
        <v/>
      </c>
      <c r="J42" s="11">
        <f>HYPERLINK("https://www.du.ae","du.ae")</f>
        <v/>
      </c>
      <c r="K42" s="10" t="inlineStr"/>
      <c r="L42" s="10" t="inlineStr"/>
      <c r="M42" s="10" t="inlineStr"/>
      <c r="N42" s="10" t="inlineStr">
        <is>
          <t>2025 itibarıyla Grup CEO.</t>
        </is>
      </c>
      <c r="O42" s="11">
        <f>HYPERLINK("https://www.du.ae/about/media-centre/newsdetail/eitc-board-confirms-the-appointment-of-fahad-all-hassawi-as-ceo","Kaynak")</f>
        <v/>
      </c>
    </row>
    <row r="43" ht="30" customHeight="1">
      <c r="A43" s="8" t="n">
        <v>41</v>
      </c>
      <c r="B43" s="12" t="inlineStr">
        <is>
          <t>Profesyonel Yönetici</t>
        </is>
      </c>
      <c r="C43" s="10" t="inlineStr">
        <is>
          <t>Enerji</t>
        </is>
      </c>
      <c r="D43" s="10" t="inlineStr">
        <is>
          <t>Bader Saeed Al Lamki</t>
        </is>
      </c>
      <c r="E43" s="10" t="inlineStr">
        <is>
          <t>CEO</t>
        </is>
      </c>
      <c r="F43" s="10" t="inlineStr">
        <is>
          <t>ADNOC Distribution</t>
        </is>
      </c>
      <c r="G43" s="10" t="inlineStr">
        <is>
          <t>BAE (Abu Dabi)</t>
        </is>
      </c>
      <c r="H43" s="13" t="inlineStr">
        <is>
          <t>Yüksek (profesyonel)</t>
        </is>
      </c>
      <c r="I43" s="11">
        <f>HYPERLINK("https://www.linkedin.com/search/results/people/?keywords=Bader%20Al%20Lamki%20ADNOC%20Distribution","LinkedIn'de bul")</f>
        <v/>
      </c>
      <c r="J43" s="11">
        <f>HYPERLINK("https://www.adnocdistribution.ae","adnocdistribution.ae")</f>
        <v/>
      </c>
      <c r="K43" s="10" t="inlineStr"/>
      <c r="L43" s="10" t="inlineStr"/>
      <c r="M43" s="10" t="inlineStr"/>
      <c r="N43" s="10" t="inlineStr">
        <is>
          <t>2025 itibarıyla CEO.</t>
        </is>
      </c>
      <c r="O43" s="11">
        <f>HYPERLINK("https://www.adnocdistribution.ae/en/investor-relations/leadership","Kaynak")</f>
        <v/>
      </c>
    </row>
    <row r="44" ht="30" customHeight="1">
      <c r="A44" s="8" t="n">
        <v>42</v>
      </c>
      <c r="B44" s="12" t="inlineStr">
        <is>
          <t>Profesyonel Yönetici</t>
        </is>
      </c>
      <c r="C44" s="10" t="inlineStr">
        <is>
          <t>Bankacılık</t>
        </is>
      </c>
      <c r="D44" s="10" t="inlineStr">
        <is>
          <t>Ahmed Abdelaal</t>
        </is>
      </c>
      <c r="E44" s="10" t="inlineStr">
        <is>
          <t>Grup CEO</t>
        </is>
      </c>
      <c r="F44" s="10" t="inlineStr">
        <is>
          <t>Mashreq Bank</t>
        </is>
      </c>
      <c r="G44" s="10" t="inlineStr">
        <is>
          <t>BAE (Dubai)</t>
        </is>
      </c>
      <c r="H44" s="13" t="inlineStr">
        <is>
          <t>Yüksek (profesyonel)</t>
        </is>
      </c>
      <c r="I44" s="11">
        <f>HYPERLINK("https://www.linkedin.com/search/results/people/?keywords=Ahmed%20Abdelaal%20Mashreq","LinkedIn'de bul")</f>
        <v/>
      </c>
      <c r="J44" s="11">
        <f>HYPERLINK("https://www.mashreq.com","mashreq.com")</f>
        <v/>
      </c>
      <c r="K44" s="10" t="inlineStr"/>
      <c r="L44" s="10" t="inlineStr"/>
      <c r="M44" s="10" t="inlineStr"/>
      <c r="N44" s="10" t="inlineStr">
        <is>
          <t>2025 itibarıyla Grup CEO.</t>
        </is>
      </c>
      <c r="O44" s="11">
        <f>HYPERLINK("https://www.mashreq.com/en/uae/about-us/our-company/corporate-governance/management-team/ahmed-abdelaal-ceo/","Kaynak")</f>
        <v/>
      </c>
    </row>
    <row r="45" ht="30" customHeight="1">
      <c r="A45" s="8" t="n">
        <v>43</v>
      </c>
      <c r="B45" s="12" t="inlineStr">
        <is>
          <t>Profesyonel Yönetici</t>
        </is>
      </c>
      <c r="C45" s="10" t="inlineStr">
        <is>
          <t>Telekom / teknoloji</t>
        </is>
      </c>
      <c r="D45" s="10" t="inlineStr">
        <is>
          <t>Khalid Murshed</t>
        </is>
      </c>
      <c r="E45" s="10" t="inlineStr">
        <is>
          <t>CEO, e&amp; enterprise</t>
        </is>
      </c>
      <c r="F45" s="10" t="inlineStr">
        <is>
          <t>e&amp; enterprise</t>
        </is>
      </c>
      <c r="G45" s="10" t="inlineStr">
        <is>
          <t>BAE (Abu Dabi/Dubai)</t>
        </is>
      </c>
      <c r="H45" s="13" t="inlineStr">
        <is>
          <t>Yüksek (profesyonel)</t>
        </is>
      </c>
      <c r="I45" s="11">
        <f>HYPERLINK("https://ae.linkedin.com/in/khalid-murshed-299b2852","LinkedIn profili")</f>
        <v/>
      </c>
      <c r="J45" s="11">
        <f>HYPERLINK("https://www.eandenterprise.com","eandenterprise.com")</f>
        <v/>
      </c>
      <c r="K45" s="10" t="inlineStr"/>
      <c r="L45" s="10" t="inlineStr"/>
      <c r="M45" s="10" t="inlineStr"/>
      <c r="N45" s="10" t="inlineStr">
        <is>
          <t>2025 başında CEO atandı.</t>
        </is>
      </c>
      <c r="O45" s="11">
        <f>HYPERLINK("https://www.eandenterprise.com/en/about-us/meet-our-team/khalid-murshed.html","Kaynak")</f>
        <v/>
      </c>
    </row>
    <row r="46" ht="30" customHeight="1">
      <c r="A46" s="8" t="n">
        <v>44</v>
      </c>
      <c r="B46" s="12" t="inlineStr">
        <is>
          <t>Profesyonel Yönetici</t>
        </is>
      </c>
      <c r="C46" s="10" t="inlineStr">
        <is>
          <t>Perakende</t>
        </is>
      </c>
      <c r="D46" s="10" t="inlineStr">
        <is>
          <t>Saifee Rupawala</t>
        </is>
      </c>
      <c r="E46" s="10" t="inlineStr">
        <is>
          <t>CEO</t>
        </is>
      </c>
      <c r="F46" s="10" t="inlineStr">
        <is>
          <t>Lulu Retail Holdings</t>
        </is>
      </c>
      <c r="G46" s="10" t="inlineStr">
        <is>
          <t>BAE (Abu Dabi)</t>
        </is>
      </c>
      <c r="H46" s="13" t="inlineStr">
        <is>
          <t>Yüksek (profesyonel)</t>
        </is>
      </c>
      <c r="I46" s="11">
        <f>HYPERLINK("https://www.linkedin.com/in/saifee-rupawala-ab2902207/","LinkedIn profili")</f>
        <v/>
      </c>
      <c r="J46" s="11">
        <f>HYPERLINK("https://www.luluretail.com","luluretail.com")</f>
        <v/>
      </c>
      <c r="K46" s="10" t="inlineStr"/>
      <c r="L46" s="10" t="inlineStr"/>
      <c r="M46" s="10" t="inlineStr"/>
      <c r="N46" s="10" t="inlineStr">
        <is>
          <t>Tem 2024'ten beri CEO, 2025'te devam.</t>
        </is>
      </c>
      <c r="O46" s="11">
        <f>HYPERLINK("https://www.luluretail.com/about-us/senior-management/","Kaynak")</f>
        <v/>
      </c>
    </row>
    <row r="47" ht="30" customHeight="1">
      <c r="A47" s="8" t="n">
        <v>45</v>
      </c>
      <c r="B47" s="12" t="inlineStr">
        <is>
          <t>Profesyonel Yönetici</t>
        </is>
      </c>
      <c r="C47" s="10" t="inlineStr">
        <is>
          <t>Bankacılık</t>
        </is>
      </c>
      <c r="D47" s="10" t="inlineStr">
        <is>
          <t>Abdulla Mubarak Al-Khalifa</t>
        </is>
      </c>
      <c r="E47" s="10" t="inlineStr">
        <is>
          <t>Grup CEO</t>
        </is>
      </c>
      <c r="F47" s="10" t="inlineStr">
        <is>
          <t>Qatar National Bank (QNB)</t>
        </is>
      </c>
      <c r="G47" s="10" t="inlineStr">
        <is>
          <t>Katar (Doha)</t>
        </is>
      </c>
      <c r="H47" s="13" t="inlineStr">
        <is>
          <t>Yüksek (profesyonel)</t>
        </is>
      </c>
      <c r="I47" s="11">
        <f>HYPERLINK("https://www.linkedin.com/search/results/people/?keywords=Abdulla%20Mubarak%20Al-Khalifa%20QNB","LinkedIn'de bul")</f>
        <v/>
      </c>
      <c r="J47" s="11">
        <f>HYPERLINK("https://www.qnb.com","qnb.com")</f>
        <v/>
      </c>
      <c r="K47" s="10" t="inlineStr"/>
      <c r="L47" s="10" t="inlineStr"/>
      <c r="M47" s="10" t="inlineStr"/>
      <c r="N47" s="10" t="inlineStr">
        <is>
          <t>2025 itibarıyla Grup CEO.</t>
        </is>
      </c>
      <c r="O47" s="11">
        <f>HYPERLINK("https://gulfbusiness.com/top-ceos-2025/abdulla-mubarak-nasser-al-khalifa/","Kaynak")</f>
        <v/>
      </c>
    </row>
    <row r="48" ht="30" customHeight="1">
      <c r="A48" s="8" t="n">
        <v>46</v>
      </c>
      <c r="B48" s="12" t="inlineStr">
        <is>
          <t>Profesyonel Yönetici</t>
        </is>
      </c>
      <c r="C48" s="10" t="inlineStr">
        <is>
          <t>Telekom</t>
        </is>
      </c>
      <c r="D48" s="10" t="inlineStr">
        <is>
          <t>Aziz Aluthman Fakhroo</t>
        </is>
      </c>
      <c r="E48" s="10" t="inlineStr">
        <is>
          <t>Grup CEO / MD</t>
        </is>
      </c>
      <c r="F48" s="10" t="inlineStr">
        <is>
          <t>Ooredoo Group</t>
        </is>
      </c>
      <c r="G48" s="10" t="inlineStr">
        <is>
          <t>Katar (Doha)</t>
        </is>
      </c>
      <c r="H48" s="13" t="inlineStr">
        <is>
          <t>Yüksek (profesyonel)</t>
        </is>
      </c>
      <c r="I48" s="11">
        <f>HYPERLINK("https://www.linkedin.com/search/results/people/?keywords=Aziz%20Aluthman%20Fakhroo%20Ooredoo","LinkedIn'de bul")</f>
        <v/>
      </c>
      <c r="J48" s="11">
        <f>HYPERLINK("https://www.ooredoo.com","ooredoo.com")</f>
        <v/>
      </c>
      <c r="K48" s="10" t="inlineStr"/>
      <c r="L48" s="10" t="inlineStr"/>
      <c r="M48" s="10" t="inlineStr"/>
      <c r="N48" s="10" t="inlineStr">
        <is>
          <t>2025 itibarıyla Grup CEO/MD.</t>
        </is>
      </c>
      <c r="O48" s="11">
        <f>HYPERLINK("https://www.ooredoo.com/en/who_we_are/governance_team/group-executive-management/","Kaynak")</f>
        <v/>
      </c>
    </row>
    <row r="49" ht="30" customHeight="1">
      <c r="A49" s="8" t="n">
        <v>47</v>
      </c>
      <c r="B49" s="12" t="inlineStr">
        <is>
          <t>Profesyonel Yönetici</t>
        </is>
      </c>
      <c r="C49" s="10" t="inlineStr">
        <is>
          <t>Bankacılık</t>
        </is>
      </c>
      <c r="D49" s="10" t="inlineStr">
        <is>
          <t>Stephen Moss</t>
        </is>
      </c>
      <c r="E49" s="10" t="inlineStr">
        <is>
          <t>Grup CEO</t>
        </is>
      </c>
      <c r="F49" s="10" t="inlineStr">
        <is>
          <t>Commercial Bank of Qatar</t>
        </is>
      </c>
      <c r="G49" s="10" t="inlineStr">
        <is>
          <t>Katar (Doha)</t>
        </is>
      </c>
      <c r="H49" s="13" t="inlineStr">
        <is>
          <t>Yüksek (profesyonel)</t>
        </is>
      </c>
      <c r="I49" s="11">
        <f>HYPERLINK("https://www.linkedin.com/search/results/people/?keywords=Stephen%20Moss%20Commercial%20Bank%20Qatar","LinkedIn'de bul")</f>
        <v/>
      </c>
      <c r="J49" s="11">
        <f>HYPERLINK("https://www.cbq.qa","cbq.qa")</f>
        <v/>
      </c>
      <c r="K49" s="10" t="inlineStr"/>
      <c r="L49" s="10" t="inlineStr"/>
      <c r="M49" s="10" t="inlineStr"/>
      <c r="N49" s="10" t="inlineStr">
        <is>
          <t>1 Ağu 2025'te Grup CEO oldu.</t>
        </is>
      </c>
      <c r="O49" s="11">
        <f>HYPERLINK("https://www.cbq.qa/en/about-us/news/list/commercial-bank-appoints-stephen-moss-as-group-chief-executive-officer","Kaynak")</f>
        <v/>
      </c>
    </row>
    <row r="50" ht="30" customHeight="1">
      <c r="A50" s="8" t="n">
        <v>48</v>
      </c>
      <c r="B50" s="12" t="inlineStr">
        <is>
          <t>Profesyonel Yönetici</t>
        </is>
      </c>
      <c r="C50" s="10" t="inlineStr">
        <is>
          <t>Telekom</t>
        </is>
      </c>
      <c r="D50" s="10" t="inlineStr">
        <is>
          <t>Olayan Alwetaid</t>
        </is>
      </c>
      <c r="E50" s="10" t="inlineStr">
        <is>
          <t>Grup CEO</t>
        </is>
      </c>
      <c r="F50" s="10" t="inlineStr">
        <is>
          <t>stc (Saudi Telecom)</t>
        </is>
      </c>
      <c r="G50" s="10" t="inlineStr">
        <is>
          <t>Suudi Arabistan (Riyad)</t>
        </is>
      </c>
      <c r="H50" s="13" t="inlineStr">
        <is>
          <t>Yüksek (profesyonel)</t>
        </is>
      </c>
      <c r="I50" s="11">
        <f>HYPERLINK("https://sa.linkedin.com/in/olayan-alwetaid-2a4a163","LinkedIn profili")</f>
        <v/>
      </c>
      <c r="J50" s="11">
        <f>HYPERLINK("https://www.stc.com.sa","stc.com.sa")</f>
        <v/>
      </c>
      <c r="K50" s="10" t="inlineStr"/>
      <c r="L50" s="10" t="inlineStr"/>
      <c r="M50" s="10" t="inlineStr"/>
      <c r="N50" s="10" t="inlineStr">
        <is>
          <t>Mart 2021'den beri Grup CEO, 2025-2026 devam.</t>
        </is>
      </c>
      <c r="O50" s="11">
        <f>HYPERLINK("https://gulfbusiness.com/en/2025/lists/mena-regions-most-influential-ceos-of-2025/olayan-alwetaid/","Kaynak")</f>
        <v/>
      </c>
    </row>
    <row r="51" ht="30" customHeight="1">
      <c r="A51" s="8" t="n">
        <v>49</v>
      </c>
      <c r="B51" s="12" t="inlineStr">
        <is>
          <t>Profesyonel Yönetici</t>
        </is>
      </c>
      <c r="C51" s="10" t="inlineStr">
        <is>
          <t>Bankacılık</t>
        </is>
      </c>
      <c r="D51" s="10" t="inlineStr">
        <is>
          <t>Tareq Al-Sadhan</t>
        </is>
      </c>
      <c r="E51" s="10" t="inlineStr">
        <is>
          <t>MD &amp; Grup CEO</t>
        </is>
      </c>
      <c r="F51" s="10" t="inlineStr">
        <is>
          <t>Saudi National Bank (SNB)</t>
        </is>
      </c>
      <c r="G51" s="10" t="inlineStr">
        <is>
          <t>Suudi Arabistan (Riyad)</t>
        </is>
      </c>
      <c r="H51" s="13" t="inlineStr">
        <is>
          <t>Yüksek (profesyonel)</t>
        </is>
      </c>
      <c r="I51" s="11">
        <f>HYPERLINK("https://www.linkedin.com/in/tareq-alsadhan-2313403/","LinkedIn profili")</f>
        <v/>
      </c>
      <c r="J51" s="11">
        <f>HYPERLINK("https://www.alahli.com","alahli.com")</f>
        <v/>
      </c>
      <c r="K51" s="10" t="inlineStr"/>
      <c r="L51" s="10" t="inlineStr"/>
      <c r="M51" s="10" t="inlineStr"/>
      <c r="N51" s="10" t="inlineStr">
        <is>
          <t>May 2024'ten beri MD&amp;CEO.</t>
        </is>
      </c>
      <c r="O51" s="11">
        <f>HYPERLINK("https://www.alahli.com/en/news/resignation-of-the-acting-ceo-and-appointment-of-the-ceo","Kaynak")</f>
        <v/>
      </c>
    </row>
    <row r="52" ht="30" customHeight="1">
      <c r="A52" s="8" t="n">
        <v>50</v>
      </c>
      <c r="B52" s="12" t="inlineStr">
        <is>
          <t>Profesyonel Yönetici</t>
        </is>
      </c>
      <c r="C52" s="10" t="inlineStr">
        <is>
          <t>Bankacılık</t>
        </is>
      </c>
      <c r="D52" s="10" t="inlineStr">
        <is>
          <t>Waleed Al-Mogbel</t>
        </is>
      </c>
      <c r="E52" s="10" t="inlineStr">
        <is>
          <t>CEO &amp; MD</t>
        </is>
      </c>
      <c r="F52" s="10" t="inlineStr">
        <is>
          <t>Al Rajhi Bank</t>
        </is>
      </c>
      <c r="G52" s="10" t="inlineStr">
        <is>
          <t>Suudi Arabistan (Riyad)</t>
        </is>
      </c>
      <c r="H52" s="13" t="inlineStr">
        <is>
          <t>Yüksek (profesyonel)</t>
        </is>
      </c>
      <c r="I52" s="11">
        <f>HYPERLINK("https://www.linkedin.com/search/results/people/?keywords=Waleed%20Al-Mogbel%20Al%20Rajhi%20Bank","LinkedIn'de bul")</f>
        <v/>
      </c>
      <c r="J52" s="11">
        <f>HYPERLINK("https://www.alrajhibank.com.sa","alrajhibank.com.sa")</f>
        <v/>
      </c>
      <c r="K52" s="10" t="inlineStr"/>
      <c r="L52" s="10" t="inlineStr"/>
      <c r="M52" s="10" t="inlineStr"/>
      <c r="N52" s="10" t="inlineStr">
        <is>
          <t>2021/22'den beri CEO&amp;MD.</t>
        </is>
      </c>
      <c r="O52" s="11">
        <f>HYPERLINK("https://www.alrajhibank.com.sa/en/About-alrajhi-bank/Executive-Management/Chief-Executive-Officer","Kaynak")</f>
        <v/>
      </c>
    </row>
    <row r="53" ht="30" customHeight="1">
      <c r="A53" s="8" t="n">
        <v>51</v>
      </c>
      <c r="B53" s="12" t="inlineStr">
        <is>
          <t>Profesyonel Yönetici</t>
        </is>
      </c>
      <c r="C53" s="10" t="inlineStr">
        <is>
          <t>Enerji</t>
        </is>
      </c>
      <c r="D53" s="10" t="inlineStr">
        <is>
          <t>Ziad Al-Murshed</t>
        </is>
      </c>
      <c r="E53" s="10" t="inlineStr">
        <is>
          <t>EVP &amp; CFO</t>
        </is>
      </c>
      <c r="F53" s="10" t="inlineStr">
        <is>
          <t>Saudi Aramco</t>
        </is>
      </c>
      <c r="G53" s="10" t="inlineStr">
        <is>
          <t>Suudi Arabistan (Dhahran)</t>
        </is>
      </c>
      <c r="H53" s="13" t="inlineStr">
        <is>
          <t>Yüksek (profesyonel)</t>
        </is>
      </c>
      <c r="I53" s="11">
        <f>HYPERLINK("https://www.linkedin.com/search/results/people/?keywords=Ziad%20Al-Murshed%20Aramco%20CFO","LinkedIn'de bul")</f>
        <v/>
      </c>
      <c r="J53" s="11">
        <f>HYPERLINK("https://www.aramco.com","aramco.com")</f>
        <v/>
      </c>
      <c r="K53" s="10" t="inlineStr"/>
      <c r="L53" s="10" t="inlineStr"/>
      <c r="M53" s="10" t="inlineStr"/>
      <c r="N53" s="10" t="inlineStr">
        <is>
          <t>May 2022'den beri EVP&amp;CFO.</t>
        </is>
      </c>
      <c r="O53" s="11">
        <f>HYPERLINK("https://www.aramco.com/en/about-us/our-leadership/ziad-al-murshed","Kaynak")</f>
        <v/>
      </c>
    </row>
    <row r="54" ht="30" customHeight="1">
      <c r="A54" s="8" t="n">
        <v>52</v>
      </c>
      <c r="B54" s="12" t="inlineStr">
        <is>
          <t>Profesyonel Yönetici</t>
        </is>
      </c>
      <c r="C54" s="10" t="inlineStr">
        <is>
          <t>Telekom</t>
        </is>
      </c>
      <c r="D54" s="10" t="inlineStr">
        <is>
          <t>Faisal Alsaber</t>
        </is>
      </c>
      <c r="E54" s="10" t="inlineStr">
        <is>
          <t>Grup CFO</t>
        </is>
      </c>
      <c r="F54" s="10" t="inlineStr">
        <is>
          <t>stc (Saudi Telecom)</t>
        </is>
      </c>
      <c r="G54" s="10" t="inlineStr">
        <is>
          <t>Suudi Arabistan (Riyad)</t>
        </is>
      </c>
      <c r="H54" s="13" t="inlineStr">
        <is>
          <t>Yüksek (profesyonel)</t>
        </is>
      </c>
      <c r="I54" s="11">
        <f>HYPERLINK("https://www.linkedin.com/search/results/people/?keywords=Faisal%20Alsaber%20stc%20CFO","LinkedIn'de bul")</f>
        <v/>
      </c>
      <c r="J54" s="11">
        <f>HYPERLINK("https://www.stc.com.sa","stc.com.sa")</f>
        <v/>
      </c>
      <c r="K54" s="10" t="inlineStr"/>
      <c r="L54" s="10" t="inlineStr"/>
      <c r="M54" s="10" t="inlineStr"/>
      <c r="N54" s="10" t="inlineStr">
        <is>
          <t>2025 resmî liderlik sayfasında Grup CFO.</t>
        </is>
      </c>
      <c r="O54" s="11">
        <f>HYPERLINK("https://www.stc.com/content/stcgroupwebsite/sa/en/who-we-are/board-of-directors-and-executive-management.html","Kaynak")</f>
        <v/>
      </c>
    </row>
    <row r="55" ht="30" customHeight="1">
      <c r="A55" s="8" t="n">
        <v>53</v>
      </c>
      <c r="B55" s="12" t="inlineStr">
        <is>
          <t>Profesyonel Yönetici</t>
        </is>
      </c>
      <c r="C55" s="10" t="inlineStr">
        <is>
          <t>Petrokimya</t>
        </is>
      </c>
      <c r="D55" s="10" t="inlineStr">
        <is>
          <t>Faisal Al-Faqeer</t>
        </is>
      </c>
      <c r="E55" s="10" t="inlineStr">
        <is>
          <t>CEO</t>
        </is>
      </c>
      <c r="F55" s="10" t="inlineStr">
        <is>
          <t>SABIC</t>
        </is>
      </c>
      <c r="G55" s="10" t="inlineStr">
        <is>
          <t>Suudi Arabistan (Riyad)</t>
        </is>
      </c>
      <c r="H55" s="13" t="inlineStr">
        <is>
          <t>Yüksek (profesyonel)</t>
        </is>
      </c>
      <c r="I55" s="11">
        <f>HYPERLINK("https://www.linkedin.com/search/results/people/?keywords=Faisal%20Al-Faqeer%20SABIC","LinkedIn'de bul")</f>
        <v/>
      </c>
      <c r="J55" s="11">
        <f>HYPERLINK("https://www.sabic.com","sabic.com")</f>
        <v/>
      </c>
      <c r="K55" s="10" t="inlineStr"/>
      <c r="L55" s="10" t="inlineStr"/>
      <c r="M55" s="10" t="inlineStr"/>
      <c r="N55" s="10" t="inlineStr">
        <is>
          <t>1 Nis 2026'da CEO oldu.</t>
        </is>
      </c>
      <c r="O55" s="11">
        <f>HYPERLINK("https://www.sabic.com/en/news/49421-retirement-of-abdulrahman-al-fageeh-and-appointment-of-faisal-al-faqeer-as-ceo","Kaynak")</f>
        <v/>
      </c>
    </row>
    <row r="56" ht="30" customHeight="1">
      <c r="A56" s="8" t="n">
        <v>54</v>
      </c>
      <c r="B56" s="12" t="inlineStr">
        <is>
          <t>Profesyonel Yönetici</t>
        </is>
      </c>
      <c r="C56" s="10" t="inlineStr">
        <is>
          <t>Havacılık</t>
        </is>
      </c>
      <c r="D56" s="10" t="inlineStr">
        <is>
          <t>Ibrahim Al-Omar</t>
        </is>
      </c>
      <c r="E56" s="10" t="inlineStr">
        <is>
          <t>Genel Müdür (Grup CEO)</t>
        </is>
      </c>
      <c r="F56" s="10" t="inlineStr">
        <is>
          <t>Saudia Group</t>
        </is>
      </c>
      <c r="G56" s="10" t="inlineStr">
        <is>
          <t>Suudi Arabistan (Cidde)</t>
        </is>
      </c>
      <c r="H56" s="13" t="inlineStr">
        <is>
          <t>Yüksek (profesyonel)</t>
        </is>
      </c>
      <c r="I56" s="11">
        <f>HYPERLINK("https://www.linkedin.com/search/results/people/?keywords=Ibrahim%20Al-Omar%20Saudia","LinkedIn'de bul")</f>
        <v/>
      </c>
      <c r="J56" s="11">
        <f>HYPERLINK("https://www.saudia.com","saudia.com")</f>
        <v/>
      </c>
      <c r="K56" s="10" t="inlineStr"/>
      <c r="L56" s="10" t="inlineStr"/>
      <c r="M56" s="10" t="inlineStr"/>
      <c r="N56" s="10" t="inlineStr">
        <is>
          <t>Ekim 2020'den beri Genel Müdür.</t>
        </is>
      </c>
      <c r="O56" s="11">
        <f>HYPERLINK("https://www.aviationbusinessme.com/saudi-arabia/revealed-saudi-aviation-power-list-2025","Kaynak")</f>
        <v/>
      </c>
    </row>
    <row r="57" ht="30" customHeight="1">
      <c r="A57" s="8" t="n">
        <v>55</v>
      </c>
      <c r="B57" s="12" t="inlineStr">
        <is>
          <t>Profesyonel Yönetici</t>
        </is>
      </c>
      <c r="C57" s="10" t="inlineStr">
        <is>
          <t>Telekom</t>
        </is>
      </c>
      <c r="D57" s="10" t="inlineStr">
        <is>
          <t>Saad AlSadhan</t>
        </is>
      </c>
      <c r="E57" s="10" t="inlineStr">
        <is>
          <t>CEO</t>
        </is>
      </c>
      <c r="F57" s="10" t="inlineStr">
        <is>
          <t>Zain KSA</t>
        </is>
      </c>
      <c r="G57" s="10" t="inlineStr">
        <is>
          <t>Suudi Arabistan (Riyad)</t>
        </is>
      </c>
      <c r="H57" s="13" t="inlineStr">
        <is>
          <t>Yüksek (profesyonel)</t>
        </is>
      </c>
      <c r="I57" s="11">
        <f>HYPERLINK("https://www.linkedin.com/search/results/people/?keywords=Saad%20AlSadhan%20Zain%20KSA","LinkedIn'de bul")</f>
        <v/>
      </c>
      <c r="J57" s="11">
        <f>HYPERLINK("https://sa.zain.com","sa.zain.com")</f>
        <v/>
      </c>
      <c r="K57" s="10" t="inlineStr"/>
      <c r="L57" s="10" t="inlineStr"/>
      <c r="M57" s="10" t="inlineStr"/>
      <c r="N57" s="10" t="inlineStr">
        <is>
          <t>1 Tem 2025'te CEO.</t>
        </is>
      </c>
      <c r="O57" s="11">
        <f>HYPERLINK("https://sa.zain.com/en/all-news/zain-ksa-appoints-eng-saad-bin-abdulrahman-alsadhan-chief-executive-officer","Kaynak")</f>
        <v/>
      </c>
    </row>
    <row r="58" ht="30" customHeight="1">
      <c r="A58" s="8" t="n">
        <v>56</v>
      </c>
      <c r="B58" s="12" t="inlineStr">
        <is>
          <t>Profesyonel Yönetici</t>
        </is>
      </c>
      <c r="C58" s="10" t="inlineStr">
        <is>
          <t>Bankacılık</t>
        </is>
      </c>
      <c r="D58" s="10" t="inlineStr">
        <is>
          <t>Isam Al-Sager</t>
        </is>
      </c>
      <c r="E58" s="10" t="inlineStr">
        <is>
          <t>Başkan Yrd. &amp; Grup CEO</t>
        </is>
      </c>
      <c r="F58" s="10" t="inlineStr">
        <is>
          <t>National Bank of Kuwait (NBK)</t>
        </is>
      </c>
      <c r="G58" s="10" t="inlineStr">
        <is>
          <t>Kuveyt (Kuveyt City)</t>
        </is>
      </c>
      <c r="H58" s="13" t="inlineStr">
        <is>
          <t>Yüksek (profesyonel)</t>
        </is>
      </c>
      <c r="I58" s="11">
        <f>HYPERLINK("https://www.linkedin.com/search/results/people/?keywords=Isam%20Al-Sager%20National%20Bank%20of%20Kuwait","LinkedIn'de bul")</f>
        <v/>
      </c>
      <c r="J58" s="11">
        <f>HYPERLINK("https://www.nbk.com","nbk.com")</f>
        <v/>
      </c>
      <c r="K58" s="10" t="inlineStr"/>
      <c r="L58" s="10" t="inlineStr"/>
      <c r="M58" s="10" t="inlineStr"/>
      <c r="N58" s="10" t="inlineStr">
        <is>
          <t>2014'ten beri Grup CEO.</t>
        </is>
      </c>
      <c r="O58" s="11">
        <f>HYPERLINK("https://oxfordbusinessgroup.com/articles-interviews/future-finance-isam-al-sager-group-ceo-national-bank-of-kuwait","Kaynak")</f>
        <v/>
      </c>
    </row>
    <row r="59" ht="30" customHeight="1">
      <c r="A59" s="8" t="n">
        <v>57</v>
      </c>
      <c r="B59" s="12" t="inlineStr">
        <is>
          <t>Profesyonel Yönetici</t>
        </is>
      </c>
      <c r="C59" s="10" t="inlineStr">
        <is>
          <t>Bankacılık</t>
        </is>
      </c>
      <c r="D59" s="10" t="inlineStr">
        <is>
          <t>Abdulwahab Al-Roshood</t>
        </is>
      </c>
      <c r="E59" s="10" t="inlineStr">
        <is>
          <t>Grup CEO</t>
        </is>
      </c>
      <c r="F59" s="10" t="inlineStr">
        <is>
          <t>Kuwait Finance House (KFH)</t>
        </is>
      </c>
      <c r="G59" s="10" t="inlineStr">
        <is>
          <t>Kuveyt (Kuveyt City)</t>
        </is>
      </c>
      <c r="H59" s="13" t="inlineStr">
        <is>
          <t>Yüksek (profesyonel)</t>
        </is>
      </c>
      <c r="I59" s="11">
        <f>HYPERLINK("https://www.linkedin.com/search/results/people/?keywords=Abdulwahab%20Al-Roshood%20Kuwait%20Finance%20House","LinkedIn'de bul")</f>
        <v/>
      </c>
      <c r="J59" s="11">
        <f>HYPERLINK("https://www.kfh.com","kfh.com")</f>
        <v/>
      </c>
      <c r="K59" s="10" t="inlineStr"/>
      <c r="L59" s="10" t="inlineStr"/>
      <c r="M59" s="10" t="inlineStr"/>
      <c r="N59" s="10" t="inlineStr">
        <is>
          <t>FY2025'i yöneten Grup CEO.</t>
        </is>
      </c>
      <c r="O59" s="11">
        <f>HYPERLINK("https://businesstoday.me/money/kfh-posts-kuwait-banking-sectors-best-profit-in-fy2025/","Kaynak")</f>
        <v/>
      </c>
    </row>
    <row r="60" ht="30" customHeight="1">
      <c r="A60" s="8" t="n">
        <v>58</v>
      </c>
      <c r="B60" s="12" t="inlineStr">
        <is>
          <t>Profesyonel Yönetici</t>
        </is>
      </c>
      <c r="C60" s="10" t="inlineStr">
        <is>
          <t>Telekom</t>
        </is>
      </c>
      <c r="D60" s="10" t="inlineStr">
        <is>
          <t>Abdulaziz Al-Babtain</t>
        </is>
      </c>
      <c r="E60" s="10" t="inlineStr">
        <is>
          <t>CEO</t>
        </is>
      </c>
      <c r="F60" s="10" t="inlineStr">
        <is>
          <t>Ooredoo Kuwait</t>
        </is>
      </c>
      <c r="G60" s="10" t="inlineStr">
        <is>
          <t>Kuveyt (Kuveyt City)</t>
        </is>
      </c>
      <c r="H60" s="13" t="inlineStr">
        <is>
          <t>Yüksek (profesyonel)</t>
        </is>
      </c>
      <c r="I60" s="11">
        <f>HYPERLINK("https://www.linkedin.com/search/results/people/?keywords=Abdulaziz%20Al-Babtain%20Ooredoo%20Kuwait","LinkedIn'de bul")</f>
        <v/>
      </c>
      <c r="J60" s="11">
        <f>HYPERLINK("https://www.ooredoo.com.kw","ooredoo.com.kw")</f>
        <v/>
      </c>
      <c r="K60" s="10" t="inlineStr"/>
      <c r="L60" s="10" t="inlineStr"/>
      <c r="M60" s="10" t="inlineStr"/>
      <c r="N60" s="10" t="inlineStr">
        <is>
          <t>Ağu 2020'den beri CEO.</t>
        </is>
      </c>
      <c r="O60" s="11">
        <f>HYPERLINK("https://www.ooredoo.com/en/media/news_view/ooredoo-appoints-new-chief-executive-officer-for-ooredoo-kuwait/","Kaynak")</f>
        <v/>
      </c>
    </row>
    <row r="61" ht="30" customHeight="1">
      <c r="A61" s="8" t="n">
        <v>59</v>
      </c>
      <c r="B61" s="12" t="inlineStr">
        <is>
          <t>Profesyonel Yönetici</t>
        </is>
      </c>
      <c r="C61" s="10" t="inlineStr">
        <is>
          <t>Sermaye piyasası</t>
        </is>
      </c>
      <c r="D61" s="10" t="inlineStr">
        <is>
          <t>Mohammad Al-Osaimi</t>
        </is>
      </c>
      <c r="E61" s="10" t="inlineStr">
        <is>
          <t>CEO</t>
        </is>
      </c>
      <c r="F61" s="10" t="inlineStr">
        <is>
          <t>Boursa Kuwait</t>
        </is>
      </c>
      <c r="G61" s="10" t="inlineStr">
        <is>
          <t>Kuveyt (Kuveyt City)</t>
        </is>
      </c>
      <c r="H61" s="13" t="inlineStr">
        <is>
          <t>Yüksek (profesyonel)</t>
        </is>
      </c>
      <c r="I61" s="11">
        <f>HYPERLINK("https://www.linkedin.com/search/results/people/?keywords=Mohammad%20Al-Osaimi%20Boursa%20Kuwait","LinkedIn'de bul")</f>
        <v/>
      </c>
      <c r="J61" s="11">
        <f>HYPERLINK("https://www.boursakuwait.com.kw","boursakuwait.com.kw")</f>
        <v/>
      </c>
      <c r="K61" s="10" t="inlineStr"/>
      <c r="L61" s="10" t="inlineStr"/>
      <c r="M61" s="10" t="inlineStr"/>
      <c r="N61" s="10" t="inlineStr">
        <is>
          <t>2025 sonuçlarında aktif CEO.</t>
        </is>
      </c>
      <c r="O61" s="11">
        <f>HYPERLINK("https://www.boursakuwait.com.kw/en/executive-team/mohammad-alosaimi/","Kaynak")</f>
        <v/>
      </c>
    </row>
    <row r="62" ht="30" customHeight="1">
      <c r="A62" s="8" t="n">
        <v>60</v>
      </c>
      <c r="B62" s="12" t="inlineStr">
        <is>
          <t>Profesyonel Yönetici</t>
        </is>
      </c>
      <c r="C62" s="10" t="inlineStr">
        <is>
          <t>Bankacılık</t>
        </is>
      </c>
      <c r="D62" s="10" t="inlineStr">
        <is>
          <t>Nadir Al-Koraya</t>
        </is>
      </c>
      <c r="E62" s="10" t="inlineStr">
        <is>
          <t>CEO</t>
        </is>
      </c>
      <c r="F62" s="10" t="inlineStr">
        <is>
          <t>Riyad Bank</t>
        </is>
      </c>
      <c r="G62" s="10" t="inlineStr">
        <is>
          <t>Suudi Arabistan (Riyad)</t>
        </is>
      </c>
      <c r="H62" s="13" t="inlineStr">
        <is>
          <t>Yüksek (profesyonel)</t>
        </is>
      </c>
      <c r="I62" s="11">
        <f>HYPERLINK("https://www.linkedin.com/search/results/people/?keywords=Nadir%20Al-Koraya%20Riyad%20Bank","LinkedIn'de bul")</f>
        <v/>
      </c>
      <c r="J62" s="11">
        <f>HYPERLINK("https://www.riyadbank.com","riyadbank.com")</f>
        <v/>
      </c>
      <c r="K62" s="10" t="inlineStr"/>
      <c r="L62" s="10" t="inlineStr"/>
      <c r="M62" s="10" t="inlineStr"/>
      <c r="N62" s="10" t="inlineStr">
        <is>
          <t>2024'ten beri CEO.</t>
        </is>
      </c>
      <c r="O62" s="11">
        <f>HYPERLINK("https://www.riyadbank.com/investor-relations/executive-management/nadir-s-al-koraya","Kaynak")</f>
        <v/>
      </c>
    </row>
    <row r="63" ht="30" customHeight="1">
      <c r="A63" s="8" t="n">
        <v>61</v>
      </c>
      <c r="B63" s="14" t="inlineStr">
        <is>
          <t>Borsa Kurul/C-Suite</t>
        </is>
      </c>
      <c r="C63" s="10" t="inlineStr">
        <is>
          <t>Banking</t>
        </is>
      </c>
      <c r="D63" s="10" t="inlineStr">
        <is>
          <t>Waleed Abdullah Al-Mogbel</t>
        </is>
      </c>
      <c r="E63" s="10" t="inlineStr">
        <is>
          <t>Managing Director and CEO</t>
        </is>
      </c>
      <c r="F63" s="10" t="inlineStr">
        <is>
          <t>Al Rajhi Bank</t>
        </is>
      </c>
      <c r="G63" s="10" t="inlineStr">
        <is>
          <t>Suudi Arabistan</t>
        </is>
      </c>
      <c r="H63" s="13" t="inlineStr">
        <is>
          <t>Yüksek (profesyonel)</t>
        </is>
      </c>
      <c r="I63" s="11">
        <f>HYPERLINK("https://www.linkedin.com/search/results/people/?keywords=Waleed%20Al-Mogbel%20Al%20Rajhi%20Bank","LinkedIn'de bul")</f>
        <v/>
      </c>
      <c r="J63" s="11">
        <f>HYPERLINK("https://www.alrajhibank.com.sa","alrajhibank.com.sa")</f>
        <v/>
      </c>
      <c r="K63" s="10" t="inlineStr"/>
      <c r="L63" s="10" t="inlineStr"/>
      <c r="M63" s="10" t="inlineStr"/>
      <c r="N63" s="10" t="inlineStr"/>
      <c r="O63" s="11">
        <f>HYPERLINK("https://www.alrajhibank.com.sa/en/About-alrajhi-bank/Executive-Management","Kaynak")</f>
        <v/>
      </c>
    </row>
    <row r="64" ht="30" customHeight="1">
      <c r="A64" s="8" t="n">
        <v>62</v>
      </c>
      <c r="B64" s="14" t="inlineStr">
        <is>
          <t>Borsa Kurul/C-Suite</t>
        </is>
      </c>
      <c r="C64" s="10" t="inlineStr">
        <is>
          <t>Banking</t>
        </is>
      </c>
      <c r="D64" s="10" t="inlineStr">
        <is>
          <t>Abdulrahman Abdullah Al-Fadda</t>
        </is>
      </c>
      <c r="E64" s="10" t="inlineStr">
        <is>
          <t>CFO</t>
        </is>
      </c>
      <c r="F64" s="10" t="inlineStr">
        <is>
          <t>Al Rajhi Bank</t>
        </is>
      </c>
      <c r="G64" s="10" t="inlineStr">
        <is>
          <t>Suudi Arabistan</t>
        </is>
      </c>
      <c r="H64" s="13" t="inlineStr">
        <is>
          <t>Yüksek (profesyonel)</t>
        </is>
      </c>
      <c r="I64" s="11">
        <f>HYPERLINK("https://www.linkedin.com/search/results/people/?keywords=Abdulrahman%20Al-Fadda%20Al%20Rajhi%20Bank","LinkedIn'de bul")</f>
        <v/>
      </c>
      <c r="J64" s="11">
        <f>HYPERLINK("https://www.alrajhibank.com.sa","alrajhibank.com.sa")</f>
        <v/>
      </c>
      <c r="K64" s="10" t="inlineStr"/>
      <c r="L64" s="10" t="inlineStr"/>
      <c r="M64" s="10" t="inlineStr"/>
      <c r="N64" s="10" t="inlineStr"/>
      <c r="O64" s="11">
        <f>HYPERLINK("https://www.alrajhibank.com.sa/en/About-alrajhi-bank/Executive-Management","Kaynak")</f>
        <v/>
      </c>
    </row>
    <row r="65" ht="30" customHeight="1">
      <c r="A65" s="8" t="n">
        <v>63</v>
      </c>
      <c r="B65" s="14" t="inlineStr">
        <is>
          <t>Borsa Kurul/C-Suite</t>
        </is>
      </c>
      <c r="C65" s="10" t="inlineStr">
        <is>
          <t>Banking</t>
        </is>
      </c>
      <c r="D65" s="10" t="inlineStr">
        <is>
          <t>Saeed Mohammed Al-Ghamdi</t>
        </is>
      </c>
      <c r="E65" s="10" t="inlineStr">
        <is>
          <t>Chairman</t>
        </is>
      </c>
      <c r="F65" s="10" t="inlineStr">
        <is>
          <t>Saudi National Bank (SNB)</t>
        </is>
      </c>
      <c r="G65" s="10" t="inlineStr">
        <is>
          <t>Suudi Arabistan</t>
        </is>
      </c>
      <c r="H65" s="10" t="inlineStr">
        <is>
          <t>Orta (başkan)</t>
        </is>
      </c>
      <c r="I65" s="11">
        <f>HYPERLINK("https://www.linkedin.com/search/results/people/?keywords=Saeed%20Al-Ghamdi%20Saudi%20National%20Bank","LinkedIn'de bul")</f>
        <v/>
      </c>
      <c r="J65" s="11">
        <f>HYPERLINK("https://www.alahli.com","alahli.com")</f>
        <v/>
      </c>
      <c r="K65" s="10" t="inlineStr"/>
      <c r="L65" s="10" t="inlineStr"/>
      <c r="M65" s="10" t="inlineStr"/>
      <c r="N65" s="10" t="inlineStr"/>
      <c r="O65" s="11">
        <f>HYPERLINK("https://en.wikipedia.org/wiki/Saudi_National_Bank","Kaynak")</f>
        <v/>
      </c>
    </row>
    <row r="66" ht="30" customHeight="1">
      <c r="A66" s="8" t="n">
        <v>64</v>
      </c>
      <c r="B66" s="14" t="inlineStr">
        <is>
          <t>Borsa Kurul/C-Suite</t>
        </is>
      </c>
      <c r="C66" s="10" t="inlineStr">
        <is>
          <t>Banking</t>
        </is>
      </c>
      <c r="D66" s="10" t="inlineStr">
        <is>
          <t>Tareq Abdulrahman Al Sadhan</t>
        </is>
      </c>
      <c r="E66" s="10" t="inlineStr">
        <is>
          <t>CEO</t>
        </is>
      </c>
      <c r="F66" s="10" t="inlineStr">
        <is>
          <t>Saudi National Bank (SNB)</t>
        </is>
      </c>
      <c r="G66" s="10" t="inlineStr">
        <is>
          <t>Suudi Arabistan</t>
        </is>
      </c>
      <c r="H66" s="13" t="inlineStr">
        <is>
          <t>Yüksek (profesyonel)</t>
        </is>
      </c>
      <c r="I66" s="11">
        <f>HYPERLINK("https://www.linkedin.com/search/results/people/?keywords=Tareq%20Al%20Sadhan%20Saudi%20National%20Bank","LinkedIn'de bul")</f>
        <v/>
      </c>
      <c r="J66" s="11">
        <f>HYPERLINK("https://www.alahli.com","alahli.com")</f>
        <v/>
      </c>
      <c r="K66" s="10" t="inlineStr"/>
      <c r="L66" s="10" t="inlineStr"/>
      <c r="M66" s="10" t="inlineStr"/>
      <c r="N66" s="10" t="inlineStr"/>
      <c r="O66" s="11">
        <f>HYPERLINK("https://www.alahli.com/en/news/resignation-of-the-acting-ceo-and-appointment-of-the-ceo","Kaynak")</f>
        <v/>
      </c>
    </row>
    <row r="67" ht="30" customHeight="1">
      <c r="A67" s="8" t="n">
        <v>65</v>
      </c>
      <c r="B67" s="14" t="inlineStr">
        <is>
          <t>Borsa Kurul/C-Suite</t>
        </is>
      </c>
      <c r="C67" s="10" t="inlineStr">
        <is>
          <t>Banking</t>
        </is>
      </c>
      <c r="D67" s="10" t="inlineStr">
        <is>
          <t>Ahmad Ali Al Dhabi</t>
        </is>
      </c>
      <c r="E67" s="10" t="inlineStr">
        <is>
          <t>Group CFO</t>
        </is>
      </c>
      <c r="F67" s="10" t="inlineStr">
        <is>
          <t>Saudi National Bank (SNB)</t>
        </is>
      </c>
      <c r="G67" s="10" t="inlineStr">
        <is>
          <t>Suudi Arabistan</t>
        </is>
      </c>
      <c r="H67" s="13" t="inlineStr">
        <is>
          <t>Yüksek (profesyonel)</t>
        </is>
      </c>
      <c r="I67" s="11">
        <f>HYPERLINK("https://www.linkedin.com/search/results/people/?keywords=Ahmad%20Al%20Dhabi%20Saudi%20National%20Bank","LinkedIn'de bul")</f>
        <v/>
      </c>
      <c r="J67" s="11">
        <f>HYPERLINK("https://www.alahli.com","alahli.com")</f>
        <v/>
      </c>
      <c r="K67" s="10" t="inlineStr"/>
      <c r="L67" s="10" t="inlineStr"/>
      <c r="M67" s="10" t="inlineStr"/>
      <c r="N67" s="10" t="inlineStr"/>
      <c r="O67" s="11">
        <f>HYPERLINK("https://en.wikipedia.org/wiki/Saudi_National_Bank","Kaynak")</f>
        <v/>
      </c>
    </row>
    <row r="68" ht="30" customHeight="1">
      <c r="A68" s="8" t="n">
        <v>66</v>
      </c>
      <c r="B68" s="14" t="inlineStr">
        <is>
          <t>Borsa Kurul/C-Suite</t>
        </is>
      </c>
      <c r="C68" s="10" t="inlineStr">
        <is>
          <t>Banking</t>
        </is>
      </c>
      <c r="D68" s="10" t="inlineStr">
        <is>
          <t>Abdullah Mohammed Al-Issa</t>
        </is>
      </c>
      <c r="E68" s="10" t="inlineStr">
        <is>
          <t>Chairman</t>
        </is>
      </c>
      <c r="F68" s="10" t="inlineStr">
        <is>
          <t>Riyad Bank</t>
        </is>
      </c>
      <c r="G68" s="10" t="inlineStr">
        <is>
          <t>Suudi Arabistan</t>
        </is>
      </c>
      <c r="H68" s="10" t="inlineStr">
        <is>
          <t>Orta (başkan)</t>
        </is>
      </c>
      <c r="I68" s="11">
        <f>HYPERLINK("https://www.linkedin.com/search/results/people/?keywords=Abdullah%20Al-Issa%20Riyad%20Bank","LinkedIn'de bul")</f>
        <v/>
      </c>
      <c r="J68" s="11">
        <f>HYPERLINK("https://www.riyadbank.com","riyadbank.com")</f>
        <v/>
      </c>
      <c r="K68" s="10" t="inlineStr"/>
      <c r="L68" s="10" t="inlineStr"/>
      <c r="M68" s="10" t="inlineStr"/>
      <c r="N68" s="10" t="inlineStr"/>
      <c r="O68" s="11">
        <f>HYPERLINK("https://www.riyadbank.com/personal-banking/about-us/board-of-directors","Kaynak")</f>
        <v/>
      </c>
    </row>
    <row r="69" ht="30" customHeight="1">
      <c r="A69" s="8" t="n">
        <v>67</v>
      </c>
      <c r="B69" s="14" t="inlineStr">
        <is>
          <t>Borsa Kurul/C-Suite</t>
        </is>
      </c>
      <c r="C69" s="10" t="inlineStr">
        <is>
          <t>Banking</t>
        </is>
      </c>
      <c r="D69" s="10" t="inlineStr">
        <is>
          <t>Nadir Sami Al-Koraya</t>
        </is>
      </c>
      <c r="E69" s="10" t="inlineStr">
        <is>
          <t>CEO</t>
        </is>
      </c>
      <c r="F69" s="10" t="inlineStr">
        <is>
          <t>Riyad Bank</t>
        </is>
      </c>
      <c r="G69" s="10" t="inlineStr">
        <is>
          <t>Suudi Arabistan</t>
        </is>
      </c>
      <c r="H69" s="13" t="inlineStr">
        <is>
          <t>Yüksek (profesyonel)</t>
        </is>
      </c>
      <c r="I69" s="11">
        <f>HYPERLINK("https://www.linkedin.com/search/results/people/?keywords=Nadir%20Al-Koraya%20Riyad%20Bank","LinkedIn'de bul")</f>
        <v/>
      </c>
      <c r="J69" s="11">
        <f>HYPERLINK("https://www.riyadbank.com","riyadbank.com")</f>
        <v/>
      </c>
      <c r="K69" s="10" t="inlineStr"/>
      <c r="L69" s="10" t="inlineStr"/>
      <c r="M69" s="10" t="inlineStr"/>
      <c r="N69" s="10" t="inlineStr"/>
      <c r="O69" s="11">
        <f>HYPERLINK("https://www.riyadbank.com/personal-banking/about-us/executive-management","Kaynak")</f>
        <v/>
      </c>
    </row>
    <row r="70" ht="30" customHeight="1">
      <c r="A70" s="8" t="n">
        <v>68</v>
      </c>
      <c r="B70" s="14" t="inlineStr">
        <is>
          <t>Borsa Kurul/C-Suite</t>
        </is>
      </c>
      <c r="C70" s="10" t="inlineStr">
        <is>
          <t>Banking</t>
        </is>
      </c>
      <c r="D70" s="10" t="inlineStr">
        <is>
          <t>Abdullah Ali Al-Oraini</t>
        </is>
      </c>
      <c r="E70" s="10" t="inlineStr">
        <is>
          <t>CFO</t>
        </is>
      </c>
      <c r="F70" s="10" t="inlineStr">
        <is>
          <t>Riyad Bank</t>
        </is>
      </c>
      <c r="G70" s="10" t="inlineStr">
        <is>
          <t>Suudi Arabistan</t>
        </is>
      </c>
      <c r="H70" s="13" t="inlineStr">
        <is>
          <t>Yüksek (profesyonel)</t>
        </is>
      </c>
      <c r="I70" s="11">
        <f>HYPERLINK("https://www.linkedin.com/search/results/people/?keywords=Abdullah%20Al-Oraini%20Riyad%20Bank","LinkedIn'de bul")</f>
        <v/>
      </c>
      <c r="J70" s="11">
        <f>HYPERLINK("https://www.riyadbank.com","riyadbank.com")</f>
        <v/>
      </c>
      <c r="K70" s="10" t="inlineStr"/>
      <c r="L70" s="10" t="inlineStr"/>
      <c r="M70" s="10" t="inlineStr"/>
      <c r="N70" s="10" t="inlineStr"/>
      <c r="O70" s="11">
        <f>HYPERLINK("https://www.riyadbank.com/personal-banking/about-us/executive-management","Kaynak")</f>
        <v/>
      </c>
    </row>
    <row r="71" ht="30" customHeight="1">
      <c r="A71" s="8" t="n">
        <v>69</v>
      </c>
      <c r="B71" s="14" t="inlineStr">
        <is>
          <t>Borsa Kurul/C-Suite</t>
        </is>
      </c>
      <c r="C71" s="10" t="inlineStr">
        <is>
          <t>Banking</t>
        </is>
      </c>
      <c r="D71" s="10" t="inlineStr">
        <is>
          <t>Abdulmalek bin Abdullah Al-Hogail</t>
        </is>
      </c>
      <c r="E71" s="10" t="inlineStr">
        <is>
          <t>Chairman</t>
        </is>
      </c>
      <c r="F71" s="10" t="inlineStr">
        <is>
          <t>Alinma Bank</t>
        </is>
      </c>
      <c r="G71" s="10" t="inlineStr">
        <is>
          <t>Suudi Arabistan</t>
        </is>
      </c>
      <c r="H71" s="10" t="inlineStr">
        <is>
          <t>Orta (başkan)</t>
        </is>
      </c>
      <c r="I71" s="11">
        <f>HYPERLINK("https://www.linkedin.com/search/results/people/?keywords=Abdulmalek%20Al-Hogail%20Alinma%20Bank","LinkedIn'de bul")</f>
        <v/>
      </c>
      <c r="J71" s="11">
        <f>HYPERLINK("https://www.alinma.com","alinma.com")</f>
        <v/>
      </c>
      <c r="K71" s="10" t="inlineStr"/>
      <c r="L71" s="10" t="inlineStr"/>
      <c r="M71" s="10" t="inlineStr"/>
      <c r="N71" s="10" t="inlineStr"/>
      <c r="O71" s="11">
        <f>HYPERLINK("https://ir.alinma.com/en/investor-relations/about-us/corporate-governance/board-of-directors/","Kaynak")</f>
        <v/>
      </c>
    </row>
    <row r="72" ht="30" customHeight="1">
      <c r="A72" s="8" t="n">
        <v>70</v>
      </c>
      <c r="B72" s="14" t="inlineStr">
        <is>
          <t>Borsa Kurul/C-Suite</t>
        </is>
      </c>
      <c r="C72" s="10" t="inlineStr">
        <is>
          <t>Banking</t>
        </is>
      </c>
      <c r="D72" s="10" t="inlineStr">
        <is>
          <t>Abdullah Ali Al Khalifa</t>
        </is>
      </c>
      <c r="E72" s="10" t="inlineStr">
        <is>
          <t>Managing Director and CEO</t>
        </is>
      </c>
      <c r="F72" s="10" t="inlineStr">
        <is>
          <t>Alinma Bank</t>
        </is>
      </c>
      <c r="G72" s="10" t="inlineStr">
        <is>
          <t>Suudi Arabistan</t>
        </is>
      </c>
      <c r="H72" s="13" t="inlineStr">
        <is>
          <t>Yüksek (profesyonel)</t>
        </is>
      </c>
      <c r="I72" s="11">
        <f>HYPERLINK("https://www.linkedin.com/search/results/people/?keywords=Abdullah%20Al%20Khalifa%20Alinma%20Bank","LinkedIn'de bul")</f>
        <v/>
      </c>
      <c r="J72" s="11">
        <f>HYPERLINK("https://www.alinma.com","alinma.com")</f>
        <v/>
      </c>
      <c r="K72" s="10" t="inlineStr"/>
      <c r="L72" s="10" t="inlineStr"/>
      <c r="M72" s="10" t="inlineStr"/>
      <c r="N72" s="10" t="inlineStr"/>
      <c r="O72" s="11">
        <f>HYPERLINK("https://www.alinma.com/en/About-the-Bank/The-Bank/News/2025/6/Board-of-Directors-and-CEO","Kaynak")</f>
        <v/>
      </c>
    </row>
    <row r="73" ht="30" customHeight="1">
      <c r="A73" s="8" t="n">
        <v>71</v>
      </c>
      <c r="B73" s="14" t="inlineStr">
        <is>
          <t>Borsa Kurul/C-Suite</t>
        </is>
      </c>
      <c r="C73" s="10" t="inlineStr">
        <is>
          <t>Banking</t>
        </is>
      </c>
      <c r="D73" s="10" t="inlineStr">
        <is>
          <t>Adel Saleh Abalkhail</t>
        </is>
      </c>
      <c r="E73" s="10" t="inlineStr">
        <is>
          <t>CFO</t>
        </is>
      </c>
      <c r="F73" s="10" t="inlineStr">
        <is>
          <t>Alinma Bank</t>
        </is>
      </c>
      <c r="G73" s="10" t="inlineStr">
        <is>
          <t>Suudi Arabistan</t>
        </is>
      </c>
      <c r="H73" s="13" t="inlineStr">
        <is>
          <t>Yüksek (profesyonel)</t>
        </is>
      </c>
      <c r="I73" s="11">
        <f>HYPERLINK("https://www.linkedin.com/search/results/people/?keywords=Adel%20Abalkhail%20Alinma%20Bank","LinkedIn'de bul")</f>
        <v/>
      </c>
      <c r="J73" s="11">
        <f>HYPERLINK("https://www.alinma.com","alinma.com")</f>
        <v/>
      </c>
      <c r="K73" s="10" t="inlineStr"/>
      <c r="L73" s="10" t="inlineStr"/>
      <c r="M73" s="10" t="inlineStr"/>
      <c r="N73" s="10" t="inlineStr"/>
      <c r="O73" s="11">
        <f>HYPERLINK("https://ir.alinma.com/en/investor-relations/about-us/corporate-governance/executive-management/","Kaynak")</f>
        <v/>
      </c>
    </row>
    <row r="74" ht="30" customHeight="1">
      <c r="A74" s="8" t="n">
        <v>72</v>
      </c>
      <c r="B74" s="14" t="inlineStr">
        <is>
          <t>Borsa Kurul/C-Suite</t>
        </is>
      </c>
      <c r="C74" s="10" t="inlineStr">
        <is>
          <t>Banking</t>
        </is>
      </c>
      <c r="D74" s="10" t="inlineStr">
        <is>
          <t>Lubna Suliman Al Olayan</t>
        </is>
      </c>
      <c r="E74" s="10" t="inlineStr">
        <is>
          <t>Chair of the Board</t>
        </is>
      </c>
      <c r="F74" s="10" t="inlineStr">
        <is>
          <t>Saudi Awwal Bank (SABB)</t>
        </is>
      </c>
      <c r="G74" s="10" t="inlineStr">
        <is>
          <t>Suudi Arabistan</t>
        </is>
      </c>
      <c r="H74" s="10" t="inlineStr">
        <is>
          <t>Orta (başkan)</t>
        </is>
      </c>
      <c r="I74" s="11">
        <f>HYPERLINK("https://www.linkedin.com/search/results/people/?keywords=Lubna%20Al%20Olayan%20Saudi%20Awwal%20Bank","LinkedIn'de bul")</f>
        <v/>
      </c>
      <c r="J74" s="11">
        <f>HYPERLINK("https://www.sab.com","sab.com")</f>
        <v/>
      </c>
      <c r="K74" s="10" t="inlineStr"/>
      <c r="L74" s="10" t="inlineStr"/>
      <c r="M74" s="10" t="inlineStr"/>
      <c r="N74" s="10" t="inlineStr"/>
      <c r="O74" s="11">
        <f>HYPERLINK("https://www.sab.com/en/about-us/about-us/board-of-directors/","Kaynak")</f>
        <v/>
      </c>
    </row>
    <row r="75" ht="30" customHeight="1">
      <c r="A75" s="8" t="n">
        <v>73</v>
      </c>
      <c r="B75" s="14" t="inlineStr">
        <is>
          <t>Borsa Kurul/C-Suite</t>
        </is>
      </c>
      <c r="C75" s="10" t="inlineStr">
        <is>
          <t>Banking</t>
        </is>
      </c>
      <c r="D75" s="10" t="inlineStr">
        <is>
          <t>Tony Cripps</t>
        </is>
      </c>
      <c r="E75" s="10" t="inlineStr">
        <is>
          <t>Managing Director and CEO</t>
        </is>
      </c>
      <c r="F75" s="10" t="inlineStr">
        <is>
          <t>Saudi Awwal Bank (SABB)</t>
        </is>
      </c>
      <c r="G75" s="10" t="inlineStr">
        <is>
          <t>Suudi Arabistan</t>
        </is>
      </c>
      <c r="H75" s="13" t="inlineStr">
        <is>
          <t>Yüksek (profesyonel)</t>
        </is>
      </c>
      <c r="I75" s="11">
        <f>HYPERLINK("https://www.linkedin.com/search/results/people/?keywords=Tony%20Cripps%20Saudi%20Awwal%20Bank","LinkedIn'de bul")</f>
        <v/>
      </c>
      <c r="J75" s="11">
        <f>HYPERLINK("https://www.sab.com","sab.com")</f>
        <v/>
      </c>
      <c r="K75" s="10" t="inlineStr"/>
      <c r="L75" s="10" t="inlineStr"/>
      <c r="M75" s="10" t="inlineStr"/>
      <c r="N75" s="10" t="inlineStr"/>
      <c r="O75" s="11">
        <f>HYPERLINK("https://www.sab.com/en/about-us/about-us/executive-top-management/","Kaynak")</f>
        <v/>
      </c>
    </row>
    <row r="76" ht="30" customHeight="1">
      <c r="A76" s="8" t="n">
        <v>74</v>
      </c>
      <c r="B76" s="14" t="inlineStr">
        <is>
          <t>Borsa Kurul/C-Suite</t>
        </is>
      </c>
      <c r="C76" s="10" t="inlineStr">
        <is>
          <t>Banking</t>
        </is>
      </c>
      <c r="D76" s="10" t="inlineStr">
        <is>
          <t>Lama Ghazzaoui</t>
        </is>
      </c>
      <c r="E76" s="10" t="inlineStr">
        <is>
          <t>CFO</t>
        </is>
      </c>
      <c r="F76" s="10" t="inlineStr">
        <is>
          <t>Saudi Awwal Bank (SABB)</t>
        </is>
      </c>
      <c r="G76" s="10" t="inlineStr">
        <is>
          <t>Suudi Arabistan</t>
        </is>
      </c>
      <c r="H76" s="13" t="inlineStr">
        <is>
          <t>Yüksek (profesyonel)</t>
        </is>
      </c>
      <c r="I76" s="11">
        <f>HYPERLINK("https://www.linkedin.com/search/results/people/?keywords=Lama%20Ghazzaoui%20Saudi%20Awwal%20Bank","LinkedIn'de bul")</f>
        <v/>
      </c>
      <c r="J76" s="11">
        <f>HYPERLINK("https://www.sab.com","sab.com")</f>
        <v/>
      </c>
      <c r="K76" s="10" t="inlineStr"/>
      <c r="L76" s="10" t="inlineStr"/>
      <c r="M76" s="10" t="inlineStr"/>
      <c r="N76" s="10" t="inlineStr"/>
      <c r="O76" s="11">
        <f>HYPERLINK("https://www.sab.com/en/about-us/about-us/executive-top-management/","Kaynak")</f>
        <v/>
      </c>
    </row>
    <row r="77" ht="30" customHeight="1">
      <c r="A77" s="8" t="n">
        <v>75</v>
      </c>
      <c r="B77" s="14" t="inlineStr">
        <is>
          <t>Borsa Kurul/C-Suite</t>
        </is>
      </c>
      <c r="C77" s="10" t="inlineStr">
        <is>
          <t>Banking</t>
        </is>
      </c>
      <c r="D77" s="10" t="inlineStr">
        <is>
          <t>Mazin Abdulrazzak AlRomaih</t>
        </is>
      </c>
      <c r="E77" s="10" t="inlineStr">
        <is>
          <t>Chairman</t>
        </is>
      </c>
      <c r="F77" s="10" t="inlineStr">
        <is>
          <t>Banque Saudi Fransi</t>
        </is>
      </c>
      <c r="G77" s="10" t="inlineStr">
        <is>
          <t>Suudi Arabistan</t>
        </is>
      </c>
      <c r="H77" s="10" t="inlineStr">
        <is>
          <t>Orta (başkan)</t>
        </is>
      </c>
      <c r="I77" s="11">
        <f>HYPERLINK("https://www.linkedin.com/search/results/people/?keywords=Mazin%20AlRomaih%20Banque%20Saudi%20Fransi","LinkedIn'de bul")</f>
        <v/>
      </c>
      <c r="J77" s="11">
        <f>HYPERLINK("https://bsf.sa","bsf.sa")</f>
        <v/>
      </c>
      <c r="K77" s="10" t="inlineStr"/>
      <c r="L77" s="10" t="inlineStr"/>
      <c r="M77" s="10" t="inlineStr"/>
      <c r="N77" s="10" t="inlineStr"/>
      <c r="O77" s="11">
        <f>HYPERLINK("https://bsf.sa/english/the-bank/boardofdirectors","Kaynak")</f>
        <v/>
      </c>
    </row>
    <row r="78" ht="30" customHeight="1">
      <c r="A78" s="8" t="n">
        <v>76</v>
      </c>
      <c r="B78" s="14" t="inlineStr">
        <is>
          <t>Borsa Kurul/C-Suite</t>
        </is>
      </c>
      <c r="C78" s="10" t="inlineStr">
        <is>
          <t>Banking</t>
        </is>
      </c>
      <c r="D78" s="10" t="inlineStr">
        <is>
          <t>Bader Hamad Al-Salloom</t>
        </is>
      </c>
      <c r="E78" s="10" t="inlineStr">
        <is>
          <t>CEO</t>
        </is>
      </c>
      <c r="F78" s="10" t="inlineStr">
        <is>
          <t>Banque Saudi Fransi</t>
        </is>
      </c>
      <c r="G78" s="10" t="inlineStr">
        <is>
          <t>Suudi Arabistan</t>
        </is>
      </c>
      <c r="H78" s="13" t="inlineStr">
        <is>
          <t>Yüksek (profesyonel)</t>
        </is>
      </c>
      <c r="I78" s="11">
        <f>HYPERLINK("https://www.linkedin.com/search/results/people/?keywords=Bader%20Al-Salloom%20Banque%20Saudi%20Fransi","LinkedIn'de bul")</f>
        <v/>
      </c>
      <c r="J78" s="11">
        <f>HYPERLINK("https://bsf.sa","bsf.sa")</f>
        <v/>
      </c>
      <c r="K78" s="10" t="inlineStr"/>
      <c r="L78" s="10" t="inlineStr"/>
      <c r="M78" s="10" t="inlineStr"/>
      <c r="N78" s="10" t="inlineStr"/>
      <c r="O78" s="11">
        <f>HYPERLINK("https://bsf.sa/english/the-bank/managament-team","Kaynak")</f>
        <v/>
      </c>
    </row>
    <row r="79" ht="30" customHeight="1">
      <c r="A79" s="8" t="n">
        <v>77</v>
      </c>
      <c r="B79" s="14" t="inlineStr">
        <is>
          <t>Borsa Kurul/C-Suite</t>
        </is>
      </c>
      <c r="C79" s="10" t="inlineStr">
        <is>
          <t>Banking</t>
        </is>
      </c>
      <c r="D79" s="10" t="inlineStr">
        <is>
          <t>Ramzy Darwish</t>
        </is>
      </c>
      <c r="E79" s="10" t="inlineStr">
        <is>
          <t>CFO</t>
        </is>
      </c>
      <c r="F79" s="10" t="inlineStr">
        <is>
          <t>Banque Saudi Fransi</t>
        </is>
      </c>
      <c r="G79" s="10" t="inlineStr">
        <is>
          <t>Suudi Arabistan</t>
        </is>
      </c>
      <c r="H79" s="13" t="inlineStr">
        <is>
          <t>Yüksek (profesyonel)</t>
        </is>
      </c>
      <c r="I79" s="11">
        <f>HYPERLINK("https://www.linkedin.com/search/results/people/?keywords=Ramzy%20Darwish%20Banque%20Saudi%20Fransi","LinkedIn'de bul")</f>
        <v/>
      </c>
      <c r="J79" s="11">
        <f>HYPERLINK("https://bsf.sa","bsf.sa")</f>
        <v/>
      </c>
      <c r="K79" s="10" t="inlineStr"/>
      <c r="L79" s="10" t="inlineStr"/>
      <c r="M79" s="10" t="inlineStr"/>
      <c r="N79" s="10" t="inlineStr"/>
      <c r="O79" s="11">
        <f>HYPERLINK("https://bsf.sa/english/the-bank/managament-team","Kaynak")</f>
        <v/>
      </c>
    </row>
    <row r="80" ht="30" customHeight="1">
      <c r="A80" s="8" t="n">
        <v>78</v>
      </c>
      <c r="B80" s="14" t="inlineStr">
        <is>
          <t>Borsa Kurul/C-Suite</t>
        </is>
      </c>
      <c r="C80" s="10" t="inlineStr">
        <is>
          <t>Banking</t>
        </is>
      </c>
      <c r="D80" s="10" t="inlineStr">
        <is>
          <t>Obaid Abdullah Al-Rasheed</t>
        </is>
      </c>
      <c r="E80" s="10" t="inlineStr">
        <is>
          <t>CEO and Managing Director</t>
        </is>
      </c>
      <c r="F80" s="10" t="inlineStr">
        <is>
          <t>Arab National Bank</t>
        </is>
      </c>
      <c r="G80" s="10" t="inlineStr">
        <is>
          <t>Suudi Arabistan</t>
        </is>
      </c>
      <c r="H80" s="13" t="inlineStr">
        <is>
          <t>Yüksek (profesyonel)</t>
        </is>
      </c>
      <c r="I80" s="11">
        <f>HYPERLINK("https://www.linkedin.com/search/results/people/?keywords=Obaid%20Al-Rasheed%20Arab%20National%20Bank","LinkedIn'de bul")</f>
        <v/>
      </c>
      <c r="J80" s="11">
        <f>HYPERLINK("https://anb.com.sa","anb.com.sa")</f>
        <v/>
      </c>
      <c r="K80" s="10" t="inlineStr"/>
      <c r="L80" s="10" t="inlineStr"/>
      <c r="M80" s="10" t="inlineStr"/>
      <c r="N80" s="10" t="inlineStr"/>
      <c r="O80" s="11">
        <f>HYPERLINK("https://anb.com.sa/web/anb/executive-management","Kaynak")</f>
        <v/>
      </c>
    </row>
    <row r="81" ht="30" customHeight="1">
      <c r="A81" s="8" t="n">
        <v>79</v>
      </c>
      <c r="B81" s="14" t="inlineStr">
        <is>
          <t>Borsa Kurul/C-Suite</t>
        </is>
      </c>
      <c r="C81" s="10" t="inlineStr">
        <is>
          <t>Banking</t>
        </is>
      </c>
      <c r="D81" s="10" t="inlineStr">
        <is>
          <t>Saad Al-Dugaish</t>
        </is>
      </c>
      <c r="E81" s="10" t="inlineStr">
        <is>
          <t>CFO</t>
        </is>
      </c>
      <c r="F81" s="10" t="inlineStr">
        <is>
          <t>Arab National Bank</t>
        </is>
      </c>
      <c r="G81" s="10" t="inlineStr">
        <is>
          <t>Suudi Arabistan</t>
        </is>
      </c>
      <c r="H81" s="13" t="inlineStr">
        <is>
          <t>Yüksek (profesyonel)</t>
        </is>
      </c>
      <c r="I81" s="11">
        <f>HYPERLINK("https://www.linkedin.com/search/results/people/?keywords=Saad%20Al-Dugaish%20Arab%20National%20Bank","LinkedIn'de bul")</f>
        <v/>
      </c>
      <c r="J81" s="11">
        <f>HYPERLINK("https://anb.com.sa","anb.com.sa")</f>
        <v/>
      </c>
      <c r="K81" s="10" t="inlineStr"/>
      <c r="L81" s="10" t="inlineStr"/>
      <c r="M81" s="10" t="inlineStr"/>
      <c r="N81" s="10" t="inlineStr"/>
      <c r="O81" s="11">
        <f>HYPERLINK("https://anb.com.sa/web/anb/executive-management","Kaynak")</f>
        <v/>
      </c>
    </row>
    <row r="82" ht="30" customHeight="1">
      <c r="A82" s="8" t="n">
        <v>80</v>
      </c>
      <c r="B82" s="14" t="inlineStr">
        <is>
          <t>Borsa Kurul/C-Suite</t>
        </is>
      </c>
      <c r="C82" s="10" t="inlineStr">
        <is>
          <t>Banking</t>
        </is>
      </c>
      <c r="D82" s="10" t="inlineStr">
        <is>
          <t>Nasser bin Mohammed Al-Subaie</t>
        </is>
      </c>
      <c r="E82" s="10" t="inlineStr">
        <is>
          <t>Chairman</t>
        </is>
      </c>
      <c r="F82" s="10" t="inlineStr">
        <is>
          <t>Bank Albilad</t>
        </is>
      </c>
      <c r="G82" s="10" t="inlineStr">
        <is>
          <t>Suudi Arabistan</t>
        </is>
      </c>
      <c r="H82" s="10" t="inlineStr">
        <is>
          <t>Orta (başkan)</t>
        </is>
      </c>
      <c r="I82" s="11">
        <f>HYPERLINK("https://www.linkedin.com/search/results/people/?keywords=Nasser%20Al-Subaie%20Bank%20Albilad","LinkedIn'de bul")</f>
        <v/>
      </c>
      <c r="J82" s="11">
        <f>HYPERLINK("https://www.bankalbilad.com.sa","bankalbilad.com.sa")</f>
        <v/>
      </c>
      <c r="K82" s="10" t="inlineStr"/>
      <c r="L82" s="10" t="inlineStr"/>
      <c r="M82" s="10" t="inlineStr"/>
      <c r="N82" s="10" t="inlineStr"/>
      <c r="O82" s="11">
        <f>HYPERLINK("https://www.bankalbilad.com.sa/en/about/Pages/board-of-directors.aspx","Kaynak")</f>
        <v/>
      </c>
    </row>
    <row r="83" ht="30" customHeight="1">
      <c r="A83" s="8" t="n">
        <v>81</v>
      </c>
      <c r="B83" s="14" t="inlineStr">
        <is>
          <t>Borsa Kurul/C-Suite</t>
        </is>
      </c>
      <c r="C83" s="10" t="inlineStr">
        <is>
          <t>Banking</t>
        </is>
      </c>
      <c r="D83" s="10" t="inlineStr">
        <is>
          <t>Bashaar Yahya Al Qunaibit</t>
        </is>
      </c>
      <c r="E83" s="10" t="inlineStr">
        <is>
          <t>CEO</t>
        </is>
      </c>
      <c r="F83" s="10" t="inlineStr">
        <is>
          <t>Bank Albilad</t>
        </is>
      </c>
      <c r="G83" s="10" t="inlineStr">
        <is>
          <t>Suudi Arabistan</t>
        </is>
      </c>
      <c r="H83" s="13" t="inlineStr">
        <is>
          <t>Yüksek (profesyonel)</t>
        </is>
      </c>
      <c r="I83" s="11">
        <f>HYPERLINK("https://www.linkedin.com/search/results/people/?keywords=Bashaar%20Al%20Qunaibit%20Bank%20Albilad","LinkedIn'de bul")</f>
        <v/>
      </c>
      <c r="J83" s="11">
        <f>HYPERLINK("https://www.bankalbilad.com.sa","bankalbilad.com.sa")</f>
        <v/>
      </c>
      <c r="K83" s="10" t="inlineStr"/>
      <c r="L83" s="10" t="inlineStr"/>
      <c r="M83" s="10" t="inlineStr"/>
      <c r="N83" s="10" t="inlineStr"/>
      <c r="O83" s="11">
        <f>HYPERLINK("https://www.bankalbilad.com.sa/en/about/pages/executive-management.aspx","Kaynak")</f>
        <v/>
      </c>
    </row>
    <row r="84" ht="30" customHeight="1">
      <c r="A84" s="8" t="n">
        <v>82</v>
      </c>
      <c r="B84" s="14" t="inlineStr">
        <is>
          <t>Borsa Kurul/C-Suite</t>
        </is>
      </c>
      <c r="C84" s="10" t="inlineStr">
        <is>
          <t>Banking</t>
        </is>
      </c>
      <c r="D84" s="10" t="inlineStr">
        <is>
          <t>Mishal Fahad Alshorihy</t>
        </is>
      </c>
      <c r="E84" s="10" t="inlineStr">
        <is>
          <t>EVP Finance (CFO)</t>
        </is>
      </c>
      <c r="F84" s="10" t="inlineStr">
        <is>
          <t>Bank Albilad</t>
        </is>
      </c>
      <c r="G84" s="10" t="inlineStr">
        <is>
          <t>Suudi Arabistan</t>
        </is>
      </c>
      <c r="H84" s="13" t="inlineStr">
        <is>
          <t>Yüksek (profesyonel)</t>
        </is>
      </c>
      <c r="I84" s="11">
        <f>HYPERLINK("https://www.linkedin.com/search/results/people/?keywords=Mishal%20Alshorihy%20Bank%20Albilad","LinkedIn'de bul")</f>
        <v/>
      </c>
      <c r="J84" s="11">
        <f>HYPERLINK("https://www.bankalbilad.com.sa","bankalbilad.com.sa")</f>
        <v/>
      </c>
      <c r="K84" s="10" t="inlineStr"/>
      <c r="L84" s="10" t="inlineStr"/>
      <c r="M84" s="10" t="inlineStr"/>
      <c r="N84" s="10" t="inlineStr"/>
      <c r="O84" s="11">
        <f>HYPERLINK("https://www.bankalbilad.com.sa/en/about/pages/executive-management.aspx","Kaynak")</f>
        <v/>
      </c>
    </row>
    <row r="85" ht="30" customHeight="1">
      <c r="A85" s="8" t="n">
        <v>83</v>
      </c>
      <c r="B85" s="14" t="inlineStr">
        <is>
          <t>Borsa Kurul/C-Suite</t>
        </is>
      </c>
      <c r="C85" s="10" t="inlineStr">
        <is>
          <t>Health Insurance</t>
        </is>
      </c>
      <c r="D85" s="10" t="inlineStr">
        <is>
          <t>Loay Hisham Nazer</t>
        </is>
      </c>
      <c r="E85" s="10" t="inlineStr">
        <is>
          <t>Chairman</t>
        </is>
      </c>
      <c r="F85" s="10" t="inlineStr">
        <is>
          <t>Bupa Arabia</t>
        </is>
      </c>
      <c r="G85" s="10" t="inlineStr">
        <is>
          <t>Suudi Arabistan</t>
        </is>
      </c>
      <c r="H85" s="10" t="inlineStr">
        <is>
          <t>Orta (başkan)</t>
        </is>
      </c>
      <c r="I85" s="11">
        <f>HYPERLINK("https://www.linkedin.com/search/results/people/?keywords=Loay%20Nazer%20Bupa%20Arabia","LinkedIn'de bul")</f>
        <v/>
      </c>
      <c r="J85" s="11">
        <f>HYPERLINK("https://www.bupa.com.sa","bupa.com.sa")</f>
        <v/>
      </c>
      <c r="K85" s="10" t="inlineStr"/>
      <c r="L85" s="10" t="inlineStr"/>
      <c r="M85" s="10" t="inlineStr"/>
      <c r="N85" s="10" t="inlineStr"/>
      <c r="O85" s="11">
        <f>HYPERLINK("https://www.nazer.com/leadership","Kaynak")</f>
        <v/>
      </c>
    </row>
    <row r="86" ht="30" customHeight="1">
      <c r="A86" s="8" t="n">
        <v>84</v>
      </c>
      <c r="B86" s="14" t="inlineStr">
        <is>
          <t>Borsa Kurul/C-Suite</t>
        </is>
      </c>
      <c r="C86" s="10" t="inlineStr">
        <is>
          <t>Health Insurance</t>
        </is>
      </c>
      <c r="D86" s="10" t="inlineStr">
        <is>
          <t>Tal Hisham Nazer</t>
        </is>
      </c>
      <c r="E86" s="10" t="inlineStr">
        <is>
          <t>CEO and Managing Director</t>
        </is>
      </c>
      <c r="F86" s="10" t="inlineStr">
        <is>
          <t>Bupa Arabia</t>
        </is>
      </c>
      <c r="G86" s="10" t="inlineStr">
        <is>
          <t>Suudi Arabistan</t>
        </is>
      </c>
      <c r="H86" s="13" t="inlineStr">
        <is>
          <t>Yüksek (profesyonel)</t>
        </is>
      </c>
      <c r="I86" s="11">
        <f>HYPERLINK("https://www.linkedin.com/search/results/people/?keywords=Tal%20Nazer%20Bupa%20Arabia","LinkedIn'de bul")</f>
        <v/>
      </c>
      <c r="J86" s="11">
        <f>HYPERLINK("https://www.bupa.com.sa","bupa.com.sa")</f>
        <v/>
      </c>
      <c r="K86" s="10" t="inlineStr"/>
      <c r="L86" s="10" t="inlineStr"/>
      <c r="M86" s="10" t="inlineStr"/>
      <c r="N86" s="10" t="inlineStr"/>
      <c r="O86" s="11">
        <f>HYPERLINK("https://www.nazer.com/leadership_info/2","Kaynak")</f>
        <v/>
      </c>
    </row>
    <row r="87" ht="30" customHeight="1">
      <c r="A87" s="8" t="n">
        <v>85</v>
      </c>
      <c r="B87" s="14" t="inlineStr">
        <is>
          <t>Borsa Kurul/C-Suite</t>
        </is>
      </c>
      <c r="C87" s="10" t="inlineStr">
        <is>
          <t>Health Insurance</t>
        </is>
      </c>
      <c r="D87" s="10" t="inlineStr">
        <is>
          <t>Nader Ashoor</t>
        </is>
      </c>
      <c r="E87" s="10" t="inlineStr">
        <is>
          <t>Deputy CEO and CFO</t>
        </is>
      </c>
      <c r="F87" s="10" t="inlineStr">
        <is>
          <t>Bupa Arabia</t>
        </is>
      </c>
      <c r="G87" s="10" t="inlineStr">
        <is>
          <t>Suudi Arabistan</t>
        </is>
      </c>
      <c r="H87" s="13" t="inlineStr">
        <is>
          <t>Yüksek (profesyonel)</t>
        </is>
      </c>
      <c r="I87" s="11">
        <f>HYPERLINK("https://www.linkedin.com/search/results/people/?keywords=Nader%20Ashoor%20Bupa%20Arabia","LinkedIn'de bul")</f>
        <v/>
      </c>
      <c r="J87" s="11">
        <f>HYPERLINK("https://www.bupa.com.sa","bupa.com.sa")</f>
        <v/>
      </c>
      <c r="K87" s="10" t="inlineStr"/>
      <c r="L87" s="10" t="inlineStr"/>
      <c r="M87" s="10" t="inlineStr"/>
      <c r="N87" s="10" t="inlineStr"/>
      <c r="O87" s="11">
        <f>HYPERLINK("https://annualreport.plus/bupa2022/en/annual-report/governance_and_risk_management_report/our_chief_executive_team.html","Kaynak")</f>
        <v/>
      </c>
    </row>
    <row r="88" ht="30" customHeight="1">
      <c r="A88" s="8" t="n">
        <v>86</v>
      </c>
      <c r="B88" s="14" t="inlineStr">
        <is>
          <t>Borsa Kurul/C-Suite</t>
        </is>
      </c>
      <c r="C88" s="10" t="inlineStr">
        <is>
          <t>Financial Markets</t>
        </is>
      </c>
      <c r="D88" s="10" t="inlineStr">
        <is>
          <t>Mazen Abdulrazzaq Al Romaih</t>
        </is>
      </c>
      <c r="E88" s="10" t="inlineStr">
        <is>
          <t>Chairman</t>
        </is>
      </c>
      <c r="F88" s="10" t="inlineStr">
        <is>
          <t>Saudi Tadawul Group</t>
        </is>
      </c>
      <c r="G88" s="10" t="inlineStr">
        <is>
          <t>Suudi Arabistan</t>
        </is>
      </c>
      <c r="H88" s="10" t="inlineStr">
        <is>
          <t>Orta (başkan)</t>
        </is>
      </c>
      <c r="I88" s="11">
        <f>HYPERLINK("https://www.linkedin.com/search/results/people/?keywords=Mazen%20Al%20Romaih%20Saudi%20Tadawul%20Group","LinkedIn'de bul")</f>
        <v/>
      </c>
      <c r="J88" s="11">
        <f>HYPERLINK("https://www.tadawulgroup.sa","tadawulgroup.sa")</f>
        <v/>
      </c>
      <c r="K88" s="10" t="inlineStr"/>
      <c r="L88" s="10" t="inlineStr"/>
      <c r="M88" s="10" t="inlineStr"/>
      <c r="N88" s="10" t="inlineStr"/>
      <c r="O88" s="11">
        <f>HYPERLINK("https://www.zawya.com/en/capital-markets/equities/saudi-tadawul-group-names-chairman-vice-chairman-j8k2xvme","Kaynak")</f>
        <v/>
      </c>
    </row>
    <row r="89" ht="30" customHeight="1">
      <c r="A89" s="8" t="n">
        <v>87</v>
      </c>
      <c r="B89" s="14" t="inlineStr">
        <is>
          <t>Borsa Kurul/C-Suite</t>
        </is>
      </c>
      <c r="C89" s="10" t="inlineStr">
        <is>
          <t>Financial Markets</t>
        </is>
      </c>
      <c r="D89" s="10" t="inlineStr">
        <is>
          <t>Khalid Abdullah Al-Hussan</t>
        </is>
      </c>
      <c r="E89" s="10" t="inlineStr">
        <is>
          <t>Group CEO</t>
        </is>
      </c>
      <c r="F89" s="10" t="inlineStr">
        <is>
          <t>Saudi Tadawul Group</t>
        </is>
      </c>
      <c r="G89" s="10" t="inlineStr">
        <is>
          <t>Suudi Arabistan</t>
        </is>
      </c>
      <c r="H89" s="13" t="inlineStr">
        <is>
          <t>Yüksek (profesyonel)</t>
        </is>
      </c>
      <c r="I89" s="11">
        <f>HYPERLINK("https://www.linkedin.com/search/results/people/?keywords=Khalid%20Al-Hussan%20Saudi%20Tadawul%20Group","LinkedIn'de bul")</f>
        <v/>
      </c>
      <c r="J89" s="11">
        <f>HYPERLINK("https://www.tadawulgroup.sa","tadawulgroup.sa")</f>
        <v/>
      </c>
      <c r="K89" s="10" t="inlineStr"/>
      <c r="L89" s="10" t="inlineStr"/>
      <c r="M89" s="10" t="inlineStr"/>
      <c r="N89" s="10" t="inlineStr"/>
      <c r="O89" s="11">
        <f>HYPERLINK("https://www.tadawulgroup.sa/wps/portal/tadawulgroup/aboutus/team","Kaynak")</f>
        <v/>
      </c>
    </row>
    <row r="90" ht="30" customHeight="1">
      <c r="A90" s="8" t="n">
        <v>88</v>
      </c>
      <c r="B90" s="14" t="inlineStr">
        <is>
          <t>Borsa Kurul/C-Suite</t>
        </is>
      </c>
      <c r="C90" s="10" t="inlineStr">
        <is>
          <t>Financial Markets</t>
        </is>
      </c>
      <c r="D90" s="10" t="inlineStr">
        <is>
          <t>Shahrukh Qureshi</t>
        </is>
      </c>
      <c r="E90" s="10" t="inlineStr">
        <is>
          <t>CFO</t>
        </is>
      </c>
      <c r="F90" s="10" t="inlineStr">
        <is>
          <t>Saudi Tadawul Group</t>
        </is>
      </c>
      <c r="G90" s="10" t="inlineStr">
        <is>
          <t>Suudi Arabistan</t>
        </is>
      </c>
      <c r="H90" s="13" t="inlineStr">
        <is>
          <t>Yüksek (profesyonel)</t>
        </is>
      </c>
      <c r="I90" s="11">
        <f>HYPERLINK("https://www.linkedin.com/search/results/people/?keywords=Shahrukh%20Qureshi%20Saudi%20Tadawul%20Group","LinkedIn'de bul")</f>
        <v/>
      </c>
      <c r="J90" s="11">
        <f>HYPERLINK("https://www.tadawulgroup.sa","tadawulgroup.sa")</f>
        <v/>
      </c>
      <c r="K90" s="10" t="inlineStr"/>
      <c r="L90" s="10" t="inlineStr"/>
      <c r="M90" s="10" t="inlineStr"/>
      <c r="N90" s="10" t="inlineStr"/>
      <c r="O90" s="11">
        <f>HYPERLINK("https://www.tadawulgroup.sa/wps/portal/tadawulgroup/aboutus/team","Kaynak")</f>
        <v/>
      </c>
    </row>
    <row r="91" ht="30" customHeight="1">
      <c r="A91" s="8" t="n">
        <v>89</v>
      </c>
      <c r="B91" s="14" t="inlineStr">
        <is>
          <t>Borsa Kurul/C-Suite</t>
        </is>
      </c>
      <c r="C91" s="10" t="inlineStr">
        <is>
          <t>Energy / Oil &amp; Gas</t>
        </is>
      </c>
      <c r="D91" s="10" t="inlineStr">
        <is>
          <t>Yasir Al-Rumayyan</t>
        </is>
      </c>
      <c r="E91" s="10" t="inlineStr">
        <is>
          <t>Chairman</t>
        </is>
      </c>
      <c r="F91" s="10" t="inlineStr">
        <is>
          <t>Saudi Aramco</t>
        </is>
      </c>
      <c r="G91" s="10" t="inlineStr">
        <is>
          <t>Suudi Arabistan</t>
        </is>
      </c>
      <c r="H91" s="10" t="inlineStr">
        <is>
          <t>Orta (başkan)</t>
        </is>
      </c>
      <c r="I91" s="11">
        <f>HYPERLINK("https://www.linkedin.com/search/results/people/?keywords=Yasir%20Al-Rumayyan%20Saudi%20Aramco","LinkedIn'de bul")</f>
        <v/>
      </c>
      <c r="J91" s="11">
        <f>HYPERLINK("https://www.aramco.com","aramco.com")</f>
        <v/>
      </c>
      <c r="K91" s="10" t="inlineStr"/>
      <c r="L91" s="10" t="inlineStr"/>
      <c r="M91" s="10" t="inlineStr"/>
      <c r="N91" s="10" t="inlineStr"/>
      <c r="O91" s="11">
        <f>HYPERLINK("https://www.aramco.com/en/about-us/our-leadership/board-of-directors","Kaynak")</f>
        <v/>
      </c>
    </row>
    <row r="92" ht="30" customHeight="1">
      <c r="A92" s="8" t="n">
        <v>90</v>
      </c>
      <c r="B92" s="14" t="inlineStr">
        <is>
          <t>Borsa Kurul/C-Suite</t>
        </is>
      </c>
      <c r="C92" s="10" t="inlineStr">
        <is>
          <t>Energy / Oil &amp; Gas</t>
        </is>
      </c>
      <c r="D92" s="10" t="inlineStr">
        <is>
          <t>Amin H. Nasser</t>
        </is>
      </c>
      <c r="E92" s="10" t="inlineStr">
        <is>
          <t>President &amp; CEO</t>
        </is>
      </c>
      <c r="F92" s="10" t="inlineStr">
        <is>
          <t>Saudi Aramco</t>
        </is>
      </c>
      <c r="G92" s="10" t="inlineStr">
        <is>
          <t>Suudi Arabistan</t>
        </is>
      </c>
      <c r="H92" s="13" t="inlineStr">
        <is>
          <t>Yüksek (profesyonel)</t>
        </is>
      </c>
      <c r="I92" s="11">
        <f>HYPERLINK("https://www.linkedin.com/search/results/people/?keywords=Amin%20Nasser%20Saudi%20Aramco","LinkedIn'de bul")</f>
        <v/>
      </c>
      <c r="J92" s="11">
        <f>HYPERLINK("https://www.aramco.com","aramco.com")</f>
        <v/>
      </c>
      <c r="K92" s="10" t="inlineStr"/>
      <c r="L92" s="10" t="inlineStr"/>
      <c r="M92" s="10" t="inlineStr"/>
      <c r="N92" s="10" t="inlineStr"/>
      <c r="O92" s="11">
        <f>HYPERLINK("https://www.aramco.com/en/about-us/our-leadership","Kaynak")</f>
        <v/>
      </c>
    </row>
    <row r="93" ht="30" customHeight="1">
      <c r="A93" s="8" t="n">
        <v>91</v>
      </c>
      <c r="B93" s="14" t="inlineStr">
        <is>
          <t>Borsa Kurul/C-Suite</t>
        </is>
      </c>
      <c r="C93" s="10" t="inlineStr">
        <is>
          <t>Energy / Oil &amp; Gas</t>
        </is>
      </c>
      <c r="D93" s="10" t="inlineStr">
        <is>
          <t>Ziad T. Al-Murshed</t>
        </is>
      </c>
      <c r="E93" s="10" t="inlineStr">
        <is>
          <t>EVP &amp; CFO</t>
        </is>
      </c>
      <c r="F93" s="10" t="inlineStr">
        <is>
          <t>Saudi Aramco</t>
        </is>
      </c>
      <c r="G93" s="10" t="inlineStr">
        <is>
          <t>Suudi Arabistan</t>
        </is>
      </c>
      <c r="H93" s="13" t="inlineStr">
        <is>
          <t>Yüksek (profesyonel)</t>
        </is>
      </c>
      <c r="I93" s="11">
        <f>HYPERLINK("https://www.linkedin.com/search/results/people/?keywords=Ziad%20Al-Murshed%20Saudi%20Aramco","LinkedIn'de bul")</f>
        <v/>
      </c>
      <c r="J93" s="11">
        <f>HYPERLINK("https://www.aramco.com","aramco.com")</f>
        <v/>
      </c>
      <c r="K93" s="10" t="inlineStr"/>
      <c r="L93" s="10" t="inlineStr"/>
      <c r="M93" s="10" t="inlineStr"/>
      <c r="N93" s="10" t="inlineStr"/>
      <c r="O93" s="11">
        <f>HYPERLINK("https://www.aramco.com/en/about-us/our-leadership/ziad-al-murshed","Kaynak")</f>
        <v/>
      </c>
    </row>
    <row r="94" ht="30" customHeight="1">
      <c r="A94" s="8" t="n">
        <v>92</v>
      </c>
      <c r="B94" s="14" t="inlineStr">
        <is>
          <t>Borsa Kurul/C-Suite</t>
        </is>
      </c>
      <c r="C94" s="10" t="inlineStr">
        <is>
          <t>Petrochemicals</t>
        </is>
      </c>
      <c r="D94" s="10" t="inlineStr">
        <is>
          <t>Khalid Al-Dabbagh</t>
        </is>
      </c>
      <c r="E94" s="10" t="inlineStr">
        <is>
          <t>Chairman</t>
        </is>
      </c>
      <c r="F94" s="10" t="inlineStr">
        <is>
          <t>SABIC</t>
        </is>
      </c>
      <c r="G94" s="10" t="inlineStr">
        <is>
          <t>Suudi Arabistan</t>
        </is>
      </c>
      <c r="H94" s="10" t="inlineStr">
        <is>
          <t>Orta (başkan)</t>
        </is>
      </c>
      <c r="I94" s="11">
        <f>HYPERLINK("https://www.linkedin.com/search/results/people/?keywords=Khalid%20Al-Dabbagh%20SABIC","LinkedIn'de bul")</f>
        <v/>
      </c>
      <c r="J94" s="11">
        <f>HYPERLINK("https://www.sabic.com","sabic.com")</f>
        <v/>
      </c>
      <c r="K94" s="10" t="inlineStr"/>
      <c r="L94" s="10" t="inlineStr"/>
      <c r="M94" s="10" t="inlineStr"/>
      <c r="N94" s="10" t="inlineStr"/>
      <c r="O94" s="11">
        <f>HYPERLINK("https://www.sabic.com/en/about/corporate-profile/board-of-directors-and-executive-management","Kaynak")</f>
        <v/>
      </c>
    </row>
    <row r="95" ht="30" customHeight="1">
      <c r="A95" s="8" t="n">
        <v>93</v>
      </c>
      <c r="B95" s="14" t="inlineStr">
        <is>
          <t>Borsa Kurul/C-Suite</t>
        </is>
      </c>
      <c r="C95" s="10" t="inlineStr">
        <is>
          <t>Petrochemicals</t>
        </is>
      </c>
      <c r="D95" s="10" t="inlineStr">
        <is>
          <t>Abdulrahman Al-Fageeh</t>
        </is>
      </c>
      <c r="E95" s="10" t="inlineStr">
        <is>
          <t>CEO</t>
        </is>
      </c>
      <c r="F95" s="10" t="inlineStr">
        <is>
          <t>SABIC</t>
        </is>
      </c>
      <c r="G95" s="10" t="inlineStr">
        <is>
          <t>Suudi Arabistan</t>
        </is>
      </c>
      <c r="H95" s="13" t="inlineStr">
        <is>
          <t>Yüksek (profesyonel)</t>
        </is>
      </c>
      <c r="I95" s="11">
        <f>HYPERLINK("https://www.linkedin.com/search/results/people/?keywords=Abdulrahman%20Al-Fageeh%20SABIC","LinkedIn'de bul")</f>
        <v/>
      </c>
      <c r="J95" s="11">
        <f>HYPERLINK("https://www.sabic.com","sabic.com")</f>
        <v/>
      </c>
      <c r="K95" s="10" t="inlineStr"/>
      <c r="L95" s="10" t="inlineStr"/>
      <c r="M95" s="10" t="inlineStr"/>
      <c r="N95" s="10" t="inlineStr"/>
      <c r="O95" s="11">
        <f>HYPERLINK("https://www.sabic.com/en/about/corporate-profile/board-of-directors-executive-management/abdulrahman-al-fageeh","Kaynak")</f>
        <v/>
      </c>
    </row>
    <row r="96" ht="30" customHeight="1">
      <c r="A96" s="8" t="n">
        <v>94</v>
      </c>
      <c r="B96" s="14" t="inlineStr">
        <is>
          <t>Borsa Kurul/C-Suite</t>
        </is>
      </c>
      <c r="C96" s="10" t="inlineStr">
        <is>
          <t>Petrochemicals</t>
        </is>
      </c>
      <c r="D96" s="10" t="inlineStr">
        <is>
          <t>Tim Stonesifer</t>
        </is>
      </c>
      <c r="E96" s="10" t="inlineStr">
        <is>
          <t>CFO</t>
        </is>
      </c>
      <c r="F96" s="10" t="inlineStr">
        <is>
          <t>SABIC</t>
        </is>
      </c>
      <c r="G96" s="10" t="inlineStr">
        <is>
          <t>Suudi Arabistan</t>
        </is>
      </c>
      <c r="H96" s="13" t="inlineStr">
        <is>
          <t>Yüksek (profesyonel)</t>
        </is>
      </c>
      <c r="I96" s="11">
        <f>HYPERLINK("https://www.linkedin.com/search/results/people/?keywords=Tim%20Stonesifer%20SABIC","LinkedIn'de bul")</f>
        <v/>
      </c>
      <c r="J96" s="11">
        <f>HYPERLINK("https://www.sabic.com","sabic.com")</f>
        <v/>
      </c>
      <c r="K96" s="10" t="inlineStr"/>
      <c r="L96" s="10" t="inlineStr"/>
      <c r="M96" s="10" t="inlineStr"/>
      <c r="N96" s="10" t="inlineStr"/>
      <c r="O96" s="11">
        <f>HYPERLINK("https://www.sabic.com/en/about/corporate-profile/board-of-directors-and-executive-management","Kaynak")</f>
        <v/>
      </c>
    </row>
    <row r="97" ht="30" customHeight="1">
      <c r="A97" s="8" t="n">
        <v>95</v>
      </c>
      <c r="B97" s="14" t="inlineStr">
        <is>
          <t>Borsa Kurul/C-Suite</t>
        </is>
      </c>
      <c r="C97" s="10" t="inlineStr">
        <is>
          <t>Mining &amp; Metals</t>
        </is>
      </c>
      <c r="D97" s="10" t="inlineStr">
        <is>
          <t>Bob Wilt</t>
        </is>
      </c>
      <c r="E97" s="10" t="inlineStr">
        <is>
          <t>CEO</t>
        </is>
      </c>
      <c r="F97" s="10" t="inlineStr">
        <is>
          <t>Ma'aden</t>
        </is>
      </c>
      <c r="G97" s="10" t="inlineStr">
        <is>
          <t>Suudi Arabistan</t>
        </is>
      </c>
      <c r="H97" s="13" t="inlineStr">
        <is>
          <t>Yüksek (profesyonel)</t>
        </is>
      </c>
      <c r="I97" s="11">
        <f>HYPERLINK("https://www.linkedin.com/search/results/people/?keywords=Bob%20Wilt%20Maaden","LinkedIn'de bul")</f>
        <v/>
      </c>
      <c r="J97" s="11">
        <f>HYPERLINK("https://www.maaden.com","maaden.com")</f>
        <v/>
      </c>
      <c r="K97" s="10" t="inlineStr"/>
      <c r="L97" s="10" t="inlineStr"/>
      <c r="M97" s="10" t="inlineStr"/>
      <c r="N97" s="10" t="inlineStr"/>
      <c r="O97" s="11">
        <f>HYPERLINK("https://www.maaden.com/discover-us/leadership","Kaynak")</f>
        <v/>
      </c>
    </row>
    <row r="98" ht="30" customHeight="1">
      <c r="A98" s="8" t="n">
        <v>96</v>
      </c>
      <c r="B98" s="14" t="inlineStr">
        <is>
          <t>Borsa Kurul/C-Suite</t>
        </is>
      </c>
      <c r="C98" s="10" t="inlineStr">
        <is>
          <t>Mining &amp; Metals</t>
        </is>
      </c>
      <c r="D98" s="10" t="inlineStr">
        <is>
          <t>Gilberto Antoniazzi</t>
        </is>
      </c>
      <c r="E98" s="10" t="inlineStr">
        <is>
          <t>EVP &amp; CFO</t>
        </is>
      </c>
      <c r="F98" s="10" t="inlineStr">
        <is>
          <t>Ma'aden</t>
        </is>
      </c>
      <c r="G98" s="10" t="inlineStr">
        <is>
          <t>Suudi Arabistan</t>
        </is>
      </c>
      <c r="H98" s="13" t="inlineStr">
        <is>
          <t>Yüksek (profesyonel)</t>
        </is>
      </c>
      <c r="I98" s="11">
        <f>HYPERLINK("https://www.linkedin.com/search/results/people/?keywords=Gilberto%20Antoniazzi%20Maaden","LinkedIn'de bul")</f>
        <v/>
      </c>
      <c r="J98" s="11">
        <f>HYPERLINK("https://www.maaden.com","maaden.com")</f>
        <v/>
      </c>
      <c r="K98" s="10" t="inlineStr"/>
      <c r="L98" s="10" t="inlineStr"/>
      <c r="M98" s="10" t="inlineStr"/>
      <c r="N98" s="10" t="inlineStr"/>
      <c r="O98" s="11">
        <f>HYPERLINK("https://www.maaden.com/discover-us/leadership","Kaynak")</f>
        <v/>
      </c>
    </row>
    <row r="99" ht="30" customHeight="1">
      <c r="A99" s="8" t="n">
        <v>97</v>
      </c>
      <c r="B99" s="14" t="inlineStr">
        <is>
          <t>Borsa Kurul/C-Suite</t>
        </is>
      </c>
      <c r="C99" s="10" t="inlineStr">
        <is>
          <t>Utilities</t>
        </is>
      </c>
      <c r="D99" s="10" t="inlineStr">
        <is>
          <t>Najm bin Abdullah Al-Zaid</t>
        </is>
      </c>
      <c r="E99" s="10" t="inlineStr">
        <is>
          <t>Chairman</t>
        </is>
      </c>
      <c r="F99" s="10" t="inlineStr">
        <is>
          <t>Saudi Electricity Company</t>
        </is>
      </c>
      <c r="G99" s="10" t="inlineStr">
        <is>
          <t>Suudi Arabistan</t>
        </is>
      </c>
      <c r="H99" s="10" t="inlineStr">
        <is>
          <t>Orta (başkan)</t>
        </is>
      </c>
      <c r="I99" s="11">
        <f>HYPERLINK("https://www.linkedin.com/search/results/people/?keywords=Najm%20Al-Zaid%20Saudi%20Electricity","LinkedIn'de bul")</f>
        <v/>
      </c>
      <c r="J99" s="11">
        <f>HYPERLINK("https://www.se.com.sa","se.com.sa")</f>
        <v/>
      </c>
      <c r="K99" s="10" t="inlineStr"/>
      <c r="L99" s="10" t="inlineStr"/>
      <c r="M99" s="10" t="inlineStr"/>
      <c r="N99" s="10" t="inlineStr"/>
      <c r="O99" s="11">
        <f>HYPERLINK("https://www.se.com.sa/en/Whoweare/Column3/About-Company/Board-of-Directors/","Kaynak")</f>
        <v/>
      </c>
    </row>
    <row r="100" ht="30" customHeight="1">
      <c r="A100" s="8" t="n">
        <v>98</v>
      </c>
      <c r="B100" s="14" t="inlineStr">
        <is>
          <t>Borsa Kurul/C-Suite</t>
        </is>
      </c>
      <c r="C100" s="10" t="inlineStr">
        <is>
          <t>Utilities</t>
        </is>
      </c>
      <c r="D100" s="10" t="inlineStr">
        <is>
          <t>Khalid bin Salem AlGhamdi</t>
        </is>
      </c>
      <c r="E100" s="10" t="inlineStr">
        <is>
          <t>CEO</t>
        </is>
      </c>
      <c r="F100" s="10" t="inlineStr">
        <is>
          <t>Saudi Electricity Company</t>
        </is>
      </c>
      <c r="G100" s="10" t="inlineStr">
        <is>
          <t>Suudi Arabistan</t>
        </is>
      </c>
      <c r="H100" s="13" t="inlineStr">
        <is>
          <t>Yüksek (profesyonel)</t>
        </is>
      </c>
      <c r="I100" s="11">
        <f>HYPERLINK("https://www.linkedin.com/search/results/people/?keywords=Khalid%20AlGhamdi%20Saudi%20Electricity","LinkedIn'de bul")</f>
        <v/>
      </c>
      <c r="J100" s="11">
        <f>HYPERLINK("https://www.se.com.sa","se.com.sa")</f>
        <v/>
      </c>
      <c r="K100" s="10" t="inlineStr"/>
      <c r="L100" s="10" t="inlineStr"/>
      <c r="M100" s="10" t="inlineStr"/>
      <c r="N100" s="10" t="inlineStr"/>
      <c r="O100" s="11">
        <f>HYPERLINK("https://www.se.com.sa/en/Whoweare/Column3/About-Company/Executive-Management/","Kaynak")</f>
        <v/>
      </c>
    </row>
    <row r="101" ht="30" customHeight="1">
      <c r="A101" s="8" t="n">
        <v>99</v>
      </c>
      <c r="B101" s="14" t="inlineStr">
        <is>
          <t>Borsa Kurul/C-Suite</t>
        </is>
      </c>
      <c r="C101" s="10" t="inlineStr">
        <is>
          <t>Utilities</t>
        </is>
      </c>
      <c r="D101" s="10" t="inlineStr">
        <is>
          <t>Abdulaziz AlMuhaiza</t>
        </is>
      </c>
      <c r="E101" s="10" t="inlineStr">
        <is>
          <t>EVP &amp; CFO</t>
        </is>
      </c>
      <c r="F101" s="10" t="inlineStr">
        <is>
          <t>Saudi Electricity Company</t>
        </is>
      </c>
      <c r="G101" s="10" t="inlineStr">
        <is>
          <t>Suudi Arabistan</t>
        </is>
      </c>
      <c r="H101" s="13" t="inlineStr">
        <is>
          <t>Yüksek (profesyonel)</t>
        </is>
      </c>
      <c r="I101" s="11">
        <f>HYPERLINK("https://www.linkedin.com/search/results/people/?keywords=Abdulaziz%20AlMuhaiza%20Saudi%20Electricity","LinkedIn'de bul")</f>
        <v/>
      </c>
      <c r="J101" s="11">
        <f>HYPERLINK("https://www.se.com.sa","se.com.sa")</f>
        <v/>
      </c>
      <c r="K101" s="10" t="inlineStr"/>
      <c r="L101" s="10" t="inlineStr"/>
      <c r="M101" s="10" t="inlineStr"/>
      <c r="N101" s="10" t="inlineStr"/>
      <c r="O101" s="11">
        <f>HYPERLINK("https://www.se.com.sa/en/Whoweare/Column3/About-Company/Executive-Management/","Kaynak")</f>
        <v/>
      </c>
    </row>
    <row r="102" ht="30" customHeight="1">
      <c r="A102" s="8" t="n">
        <v>100</v>
      </c>
      <c r="B102" s="14" t="inlineStr">
        <is>
          <t>Borsa Kurul/C-Suite</t>
        </is>
      </c>
      <c r="C102" s="10" t="inlineStr">
        <is>
          <t>Utilities</t>
        </is>
      </c>
      <c r="D102" s="10" t="inlineStr">
        <is>
          <t>Mohammad Abunayyan</t>
        </is>
      </c>
      <c r="E102" s="10" t="inlineStr">
        <is>
          <t>Chairman</t>
        </is>
      </c>
      <c r="F102" s="10" t="inlineStr">
        <is>
          <t>ACWA Power</t>
        </is>
      </c>
      <c r="G102" s="10" t="inlineStr">
        <is>
          <t>Suudi Arabistan</t>
        </is>
      </c>
      <c r="H102" s="10" t="inlineStr">
        <is>
          <t>Orta (başkan)</t>
        </is>
      </c>
      <c r="I102" s="11">
        <f>HYPERLINK("https://www.linkedin.com/search/results/people/?keywords=Mohammad%20Abunayyan%20ACWA%20Power","LinkedIn'de bul")</f>
        <v/>
      </c>
      <c r="J102" s="11">
        <f>HYPERLINK("https://acwapower.com","acwapower.com")</f>
        <v/>
      </c>
      <c r="K102" s="10" t="inlineStr"/>
      <c r="L102" s="10" t="inlineStr"/>
      <c r="M102" s="10" t="inlineStr"/>
      <c r="N102" s="10" t="inlineStr"/>
      <c r="O102" s="11">
        <f>HYPERLINK("https://acwapower.com/en/about-us/management-team/","Kaynak")</f>
        <v/>
      </c>
    </row>
    <row r="103" ht="30" customHeight="1">
      <c r="A103" s="8" t="n">
        <v>101</v>
      </c>
      <c r="B103" s="14" t="inlineStr">
        <is>
          <t>Borsa Kurul/C-Suite</t>
        </is>
      </c>
      <c r="C103" s="10" t="inlineStr">
        <is>
          <t>Utilities</t>
        </is>
      </c>
      <c r="D103" s="10" t="inlineStr">
        <is>
          <t>Samir J. Serhan</t>
        </is>
      </c>
      <c r="E103" s="10" t="inlineStr">
        <is>
          <t>CEO</t>
        </is>
      </c>
      <c r="F103" s="10" t="inlineStr">
        <is>
          <t>ACWA Power</t>
        </is>
      </c>
      <c r="G103" s="10" t="inlineStr">
        <is>
          <t>Suudi Arabistan</t>
        </is>
      </c>
      <c r="H103" s="13" t="inlineStr">
        <is>
          <t>Yüksek (profesyonel)</t>
        </is>
      </c>
      <c r="I103" s="11">
        <f>HYPERLINK("https://www.linkedin.com/search/results/people/?keywords=Samir%20Serhan%20ACWA%20Power","LinkedIn'de bul")</f>
        <v/>
      </c>
      <c r="J103" s="11">
        <f>HYPERLINK("https://acwapower.com","acwapower.com")</f>
        <v/>
      </c>
      <c r="K103" s="10" t="inlineStr"/>
      <c r="L103" s="10" t="inlineStr"/>
      <c r="M103" s="10" t="inlineStr"/>
      <c r="N103" s="10" t="inlineStr"/>
      <c r="O103" s="11">
        <f>HYPERLINK("https://acwapower.com/en/media-center/latest-news/acwa-board-of-directors-names-dr-samir-j-serhan-chief-executive-officer/","Kaynak")</f>
        <v/>
      </c>
    </row>
    <row r="104" ht="30" customHeight="1">
      <c r="A104" s="8" t="n">
        <v>102</v>
      </c>
      <c r="B104" s="14" t="inlineStr">
        <is>
          <t>Borsa Kurul/C-Suite</t>
        </is>
      </c>
      <c r="C104" s="10" t="inlineStr">
        <is>
          <t>Utilities</t>
        </is>
      </c>
      <c r="D104" s="10" t="inlineStr">
        <is>
          <t>Abdulhameed Al-Muhaidib</t>
        </is>
      </c>
      <c r="E104" s="10" t="inlineStr">
        <is>
          <t>CFO</t>
        </is>
      </c>
      <c r="F104" s="10" t="inlineStr">
        <is>
          <t>ACWA Power</t>
        </is>
      </c>
      <c r="G104" s="10" t="inlineStr">
        <is>
          <t>Suudi Arabistan</t>
        </is>
      </c>
      <c r="H104" s="13" t="inlineStr">
        <is>
          <t>Yüksek (profesyonel)</t>
        </is>
      </c>
      <c r="I104" s="11">
        <f>HYPERLINK("https://www.linkedin.com/search/results/people/?keywords=Abdulhameed%20Al-Muhaidib%20ACWA%20Power","LinkedIn'de bul")</f>
        <v/>
      </c>
      <c r="J104" s="11">
        <f>HYPERLINK("https://acwapower.com","acwapower.com")</f>
        <v/>
      </c>
      <c r="K104" s="10" t="inlineStr"/>
      <c r="L104" s="10" t="inlineStr"/>
      <c r="M104" s="10" t="inlineStr"/>
      <c r="N104" s="10" t="inlineStr"/>
      <c r="O104" s="11">
        <f>HYPERLINK("https://acwapower.com/en/about-us/management-team/","Kaynak")</f>
        <v/>
      </c>
    </row>
    <row r="105" ht="30" customHeight="1">
      <c r="A105" s="8" t="n">
        <v>103</v>
      </c>
      <c r="B105" s="14" t="inlineStr">
        <is>
          <t>Borsa Kurul/C-Suite</t>
        </is>
      </c>
      <c r="C105" s="10" t="inlineStr">
        <is>
          <t>Refining &amp; Petrochemicals</t>
        </is>
      </c>
      <c r="D105" s="10" t="inlineStr">
        <is>
          <t>Ibrahim Q. Al-Buainain</t>
        </is>
      </c>
      <c r="E105" s="10" t="inlineStr">
        <is>
          <t>Chairman</t>
        </is>
      </c>
      <c r="F105" s="10" t="inlineStr">
        <is>
          <t>Petro Rabigh</t>
        </is>
      </c>
      <c r="G105" s="10" t="inlineStr">
        <is>
          <t>Suudi Arabistan</t>
        </is>
      </c>
      <c r="H105" s="10" t="inlineStr">
        <is>
          <t>Orta (başkan)</t>
        </is>
      </c>
      <c r="I105" s="11">
        <f>HYPERLINK("https://www.linkedin.com/search/results/people/?keywords=Ibrahim%20Al-Buainain%20Petro%20Rabigh","LinkedIn'de bul")</f>
        <v/>
      </c>
      <c r="J105" s="11">
        <f>HYPERLINK("https://www.petrorabigh.com","petrorabigh.com")</f>
        <v/>
      </c>
      <c r="K105" s="10" t="inlineStr"/>
      <c r="L105" s="10" t="inlineStr"/>
      <c r="M105" s="10" t="inlineStr"/>
      <c r="N105" s="10" t="inlineStr"/>
      <c r="O105" s="11">
        <f>HYPERLINK("https://www.arabnews.com/node/1962981/business-economy","Kaynak")</f>
        <v/>
      </c>
    </row>
    <row r="106" ht="30" customHeight="1">
      <c r="A106" s="8" t="n">
        <v>104</v>
      </c>
      <c r="B106" s="14" t="inlineStr">
        <is>
          <t>Borsa Kurul/C-Suite</t>
        </is>
      </c>
      <c r="C106" s="10" t="inlineStr">
        <is>
          <t>Refining &amp; Petrochemicals</t>
        </is>
      </c>
      <c r="D106" s="10" t="inlineStr">
        <is>
          <t>Othman Ali Al-Ghamdi</t>
        </is>
      </c>
      <c r="E106" s="10" t="inlineStr">
        <is>
          <t>President &amp; CEO</t>
        </is>
      </c>
      <c r="F106" s="10" t="inlineStr">
        <is>
          <t>Petro Rabigh</t>
        </is>
      </c>
      <c r="G106" s="10" t="inlineStr">
        <is>
          <t>Suudi Arabistan</t>
        </is>
      </c>
      <c r="H106" s="13" t="inlineStr">
        <is>
          <t>Yüksek (profesyonel)</t>
        </is>
      </c>
      <c r="I106" s="11">
        <f>HYPERLINK("https://www.linkedin.com/search/results/people/?keywords=Othman%20Al-Ghamdi%20Petro%20Rabigh","LinkedIn'de bul")</f>
        <v/>
      </c>
      <c r="J106" s="11">
        <f>HYPERLINK("https://www.petrorabigh.com","petrorabigh.com")</f>
        <v/>
      </c>
      <c r="K106" s="10" t="inlineStr"/>
      <c r="L106" s="10" t="inlineStr"/>
      <c r="M106" s="10" t="inlineStr"/>
      <c r="N106" s="10" t="inlineStr"/>
      <c r="O106" s="11">
        <f>HYPERLINK("https://www.petrorabigh.com","Kaynak")</f>
        <v/>
      </c>
    </row>
    <row r="107" ht="30" customHeight="1">
      <c r="A107" s="8" t="n">
        <v>105</v>
      </c>
      <c r="B107" s="14" t="inlineStr">
        <is>
          <t>Borsa Kurul/C-Suite</t>
        </is>
      </c>
      <c r="C107" s="10" t="inlineStr">
        <is>
          <t>Petrochemicals</t>
        </is>
      </c>
      <c r="D107" s="10" t="inlineStr">
        <is>
          <t>Faisal Suwailem</t>
        </is>
      </c>
      <c r="E107" s="10" t="inlineStr">
        <is>
          <t>Chairman</t>
        </is>
      </c>
      <c r="F107" s="10" t="inlineStr">
        <is>
          <t>Yansab</t>
        </is>
      </c>
      <c r="G107" s="10" t="inlineStr">
        <is>
          <t>Suudi Arabistan</t>
        </is>
      </c>
      <c r="H107" s="10" t="inlineStr">
        <is>
          <t>Orta (başkan)</t>
        </is>
      </c>
      <c r="I107" s="11">
        <f>HYPERLINK("https://www.linkedin.com/search/results/people/?keywords=Faisal%20Suwailem%20Yansab","LinkedIn'de bul")</f>
        <v/>
      </c>
      <c r="J107" s="11">
        <f>HYPERLINK("https://www.yansab.com.sa","yansab.com.sa")</f>
        <v/>
      </c>
      <c r="K107" s="10" t="inlineStr"/>
      <c r="L107" s="10" t="inlineStr"/>
      <c r="M107" s="10" t="inlineStr"/>
      <c r="N107" s="10" t="inlineStr"/>
      <c r="O107" s="11">
        <f>HYPERLINK("https://www.yansab.com.sa/en/our-company/board-of-directors","Kaynak")</f>
        <v/>
      </c>
    </row>
    <row r="108" ht="30" customHeight="1">
      <c r="A108" s="8" t="n">
        <v>106</v>
      </c>
      <c r="B108" s="14" t="inlineStr">
        <is>
          <t>Borsa Kurul/C-Suite</t>
        </is>
      </c>
      <c r="C108" s="10" t="inlineStr">
        <is>
          <t>Petrochemicals</t>
        </is>
      </c>
      <c r="D108" s="10" t="inlineStr">
        <is>
          <t>Wazen Al-Solami</t>
        </is>
      </c>
      <c r="E108" s="10" t="inlineStr">
        <is>
          <t>President &amp; CEO</t>
        </is>
      </c>
      <c r="F108" s="10" t="inlineStr">
        <is>
          <t>Yansab</t>
        </is>
      </c>
      <c r="G108" s="10" t="inlineStr">
        <is>
          <t>Suudi Arabistan</t>
        </is>
      </c>
      <c r="H108" s="13" t="inlineStr">
        <is>
          <t>Yüksek (profesyonel)</t>
        </is>
      </c>
      <c r="I108" s="11">
        <f>HYPERLINK("https://www.linkedin.com/search/results/people/?keywords=Wazen%20Al-Solami%20Yansab","LinkedIn'de bul")</f>
        <v/>
      </c>
      <c r="J108" s="11">
        <f>HYPERLINK("https://www.yansab.com.sa","yansab.com.sa")</f>
        <v/>
      </c>
      <c r="K108" s="10" t="inlineStr"/>
      <c r="L108" s="10" t="inlineStr"/>
      <c r="M108" s="10" t="inlineStr"/>
      <c r="N108" s="10" t="inlineStr"/>
      <c r="O108" s="11">
        <f>HYPERLINK("https://www.yansab.com.sa/en/our-company/board-of-directors","Kaynak")</f>
        <v/>
      </c>
    </row>
    <row r="109" ht="30" customHeight="1">
      <c r="A109" s="8" t="n">
        <v>107</v>
      </c>
      <c r="B109" s="14" t="inlineStr">
        <is>
          <t>Borsa Kurul/C-Suite</t>
        </is>
      </c>
      <c r="C109" s="10" t="inlineStr">
        <is>
          <t>Petrochemicals</t>
        </is>
      </c>
      <c r="D109" s="10" t="inlineStr">
        <is>
          <t>Abdullah AlGarni</t>
        </is>
      </c>
      <c r="E109" s="10" t="inlineStr">
        <is>
          <t>Chairman</t>
        </is>
      </c>
      <c r="F109" s="10" t="inlineStr">
        <is>
          <t>Saudi Kayan</t>
        </is>
      </c>
      <c r="G109" s="10" t="inlineStr">
        <is>
          <t>Suudi Arabistan</t>
        </is>
      </c>
      <c r="H109" s="10" t="inlineStr">
        <is>
          <t>Orta (başkan)</t>
        </is>
      </c>
      <c r="I109" s="11">
        <f>HYPERLINK("https://www.linkedin.com/search/results/people/?keywords=Abdullah%20AlGarni%20Saudi%20Kayan","LinkedIn'de bul")</f>
        <v/>
      </c>
      <c r="J109" s="11">
        <f>HYPERLINK("https://www.saudikayan.com","saudikayan.com")</f>
        <v/>
      </c>
      <c r="K109" s="10" t="inlineStr"/>
      <c r="L109" s="10" t="inlineStr"/>
      <c r="M109" s="10" t="inlineStr"/>
      <c r="N109" s="10" t="inlineStr"/>
      <c r="O109" s="11">
        <f>HYPERLINK("https://www.saudikayan.com/en/our-company/executive-team","Kaynak")</f>
        <v/>
      </c>
    </row>
    <row r="110" ht="30" customHeight="1">
      <c r="A110" s="8" t="n">
        <v>108</v>
      </c>
      <c r="B110" s="14" t="inlineStr">
        <is>
          <t>Borsa Kurul/C-Suite</t>
        </is>
      </c>
      <c r="C110" s="10" t="inlineStr">
        <is>
          <t>Petrochemicals</t>
        </is>
      </c>
      <c r="D110" s="10" t="inlineStr">
        <is>
          <t>Sameeh bin Sulaiman Al-Sahafi</t>
        </is>
      </c>
      <c r="E110" s="10" t="inlineStr">
        <is>
          <t>President &amp; CEO</t>
        </is>
      </c>
      <c r="F110" s="10" t="inlineStr">
        <is>
          <t>Saudi Kayan</t>
        </is>
      </c>
      <c r="G110" s="10" t="inlineStr">
        <is>
          <t>Suudi Arabistan</t>
        </is>
      </c>
      <c r="H110" s="13" t="inlineStr">
        <is>
          <t>Yüksek (profesyonel)</t>
        </is>
      </c>
      <c r="I110" s="11">
        <f>HYPERLINK("https://www.linkedin.com/search/results/people/?keywords=Sameeh%20Al-Sahafi%20Saudi%20Kayan","LinkedIn'de bul")</f>
        <v/>
      </c>
      <c r="J110" s="11">
        <f>HYPERLINK("https://www.saudikayan.com","saudikayan.com")</f>
        <v/>
      </c>
      <c r="K110" s="10" t="inlineStr"/>
      <c r="L110" s="10" t="inlineStr"/>
      <c r="M110" s="10" t="inlineStr"/>
      <c r="N110" s="10" t="inlineStr"/>
      <c r="O110" s="11">
        <f>HYPERLINK("https://www.saudikayan.com/en/our-company/executive-team","Kaynak")</f>
        <v/>
      </c>
    </row>
    <row r="111" ht="30" customHeight="1">
      <c r="A111" s="8" t="n">
        <v>109</v>
      </c>
      <c r="B111" s="14" t="inlineStr">
        <is>
          <t>Borsa Kurul/C-Suite</t>
        </is>
      </c>
      <c r="C111" s="10" t="inlineStr">
        <is>
          <t>Petrochemicals</t>
        </is>
      </c>
      <c r="D111" s="10" t="inlineStr">
        <is>
          <t>Khalifa A. Al-Mulhem</t>
        </is>
      </c>
      <c r="E111" s="10" t="inlineStr">
        <is>
          <t>Chairman</t>
        </is>
      </c>
      <c r="F111" s="10" t="inlineStr">
        <is>
          <t>Advanced Petrochemical</t>
        </is>
      </c>
      <c r="G111" s="10" t="inlineStr">
        <is>
          <t>Suudi Arabistan</t>
        </is>
      </c>
      <c r="H111" s="10" t="inlineStr">
        <is>
          <t>Orta (başkan)</t>
        </is>
      </c>
      <c r="I111" s="11">
        <f>HYPERLINK("https://www.linkedin.com/search/results/people/?keywords=Khalifa%20Al-Mulhem%20Advanced%20Petrochemical","LinkedIn'de bul")</f>
        <v/>
      </c>
      <c r="J111" s="11">
        <f>HYPERLINK("https://advancedpetrochem.com","advancedpetrochem.com")</f>
        <v/>
      </c>
      <c r="K111" s="10" t="inlineStr"/>
      <c r="L111" s="10" t="inlineStr"/>
      <c r="M111" s="10" t="inlineStr"/>
      <c r="N111" s="10" t="inlineStr"/>
      <c r="O111" s="11">
        <f>HYPERLINK("https://advancedpetrochem.com/about/","Kaynak")</f>
        <v/>
      </c>
    </row>
    <row r="112" ht="30" customHeight="1">
      <c r="A112" s="8" t="n">
        <v>110</v>
      </c>
      <c r="B112" s="14" t="inlineStr">
        <is>
          <t>Borsa Kurul/C-Suite</t>
        </is>
      </c>
      <c r="C112" s="10" t="inlineStr">
        <is>
          <t>Petrochemicals</t>
        </is>
      </c>
      <c r="D112" s="10" t="inlineStr">
        <is>
          <t>Mamdouh H. Al-Amri</t>
        </is>
      </c>
      <c r="E112" s="10" t="inlineStr">
        <is>
          <t>President &amp; CEO</t>
        </is>
      </c>
      <c r="F112" s="10" t="inlineStr">
        <is>
          <t>Advanced Petrochemical</t>
        </is>
      </c>
      <c r="G112" s="10" t="inlineStr">
        <is>
          <t>Suudi Arabistan</t>
        </is>
      </c>
      <c r="H112" s="13" t="inlineStr">
        <is>
          <t>Yüksek (profesyonel)</t>
        </is>
      </c>
      <c r="I112" s="11">
        <f>HYPERLINK("https://www.linkedin.com/search/results/people/?keywords=Mamdouh%20Al-Amri%20Advanced%20Petrochemical","LinkedIn'de bul")</f>
        <v/>
      </c>
      <c r="J112" s="11">
        <f>HYPERLINK("https://advancedpetrochem.com","advancedpetrochem.com")</f>
        <v/>
      </c>
      <c r="K112" s="10" t="inlineStr"/>
      <c r="L112" s="10" t="inlineStr"/>
      <c r="M112" s="10" t="inlineStr"/>
      <c r="N112" s="10" t="inlineStr"/>
      <c r="O112" s="11">
        <f>HYPERLINK("https://advancedpetrochem.com/about/","Kaynak")</f>
        <v/>
      </c>
    </row>
    <row r="113" ht="30" customHeight="1">
      <c r="A113" s="8" t="n">
        <v>111</v>
      </c>
      <c r="B113" s="14" t="inlineStr">
        <is>
          <t>Borsa Kurul/C-Suite</t>
        </is>
      </c>
      <c r="C113" s="10" t="inlineStr">
        <is>
          <t>Fertilizers</t>
        </is>
      </c>
      <c r="D113" s="10" t="inlineStr">
        <is>
          <t>Fahad M. Al-Battar</t>
        </is>
      </c>
      <c r="E113" s="10" t="inlineStr">
        <is>
          <t>CEO</t>
        </is>
      </c>
      <c r="F113" s="10" t="inlineStr">
        <is>
          <t>SABIC Agri-Nutrients</t>
        </is>
      </c>
      <c r="G113" s="10" t="inlineStr">
        <is>
          <t>Suudi Arabistan</t>
        </is>
      </c>
      <c r="H113" s="13" t="inlineStr">
        <is>
          <t>Yüksek (profesyonel)</t>
        </is>
      </c>
      <c r="I113" s="11">
        <f>HYPERLINK("https://www.linkedin.com/search/results/people/?keywords=Fahad%20Al-Battar%20SABIC%20Agri-Nutrients","LinkedIn'de bul")</f>
        <v/>
      </c>
      <c r="J113" s="11">
        <f>HYPERLINK("https://www.sabic-agrinutrients.com","sabic-agrinutrients.com")</f>
        <v/>
      </c>
      <c r="K113" s="10" t="inlineStr"/>
      <c r="L113" s="10" t="inlineStr"/>
      <c r="M113" s="10" t="inlineStr"/>
      <c r="N113" s="10" t="inlineStr"/>
      <c r="O113" s="11">
        <f>HYPERLINK("https://www.argaam.com/en/article/articledetail/id/1712745","Kaynak")</f>
        <v/>
      </c>
    </row>
    <row r="114" ht="30" customHeight="1">
      <c r="A114" s="8" t="n">
        <v>112</v>
      </c>
      <c r="B114" s="14" t="inlineStr">
        <is>
          <t>Borsa Kurul/C-Suite</t>
        </is>
      </c>
      <c r="C114" s="10" t="inlineStr">
        <is>
          <t>Telecom</t>
        </is>
      </c>
      <c r="D114" s="10" t="inlineStr">
        <is>
          <t>HRH Prince Mohammed bin Khalid Al-Faisal</t>
        </is>
      </c>
      <c r="E114" s="10" t="inlineStr">
        <is>
          <t>Chairman</t>
        </is>
      </c>
      <c r="F114" s="10" t="inlineStr">
        <is>
          <t>stc (Saudi Telecom)</t>
        </is>
      </c>
      <c r="G114" s="10" t="inlineStr">
        <is>
          <t>Suudi Arabistan</t>
        </is>
      </c>
      <c r="H114" s="10" t="inlineStr">
        <is>
          <t>Düşük (royal/sahip)</t>
        </is>
      </c>
      <c r="I114" s="11">
        <f>HYPERLINK("https://www.linkedin.com/search/results/people/?keywords=Mohammed%20Al-Faisal%20stc","LinkedIn'de bul")</f>
        <v/>
      </c>
      <c r="J114" s="11">
        <f>HYPERLINK("https://www.stc.com","stc.com")</f>
        <v/>
      </c>
      <c r="K114" s="10" t="inlineStr"/>
      <c r="L114" s="10" t="inlineStr"/>
      <c r="M114" s="10" t="inlineStr"/>
      <c r="N114" s="10" t="inlineStr"/>
      <c r="O114" s="11">
        <f>HYPERLINK("https://www.stc.com/content/stcgroupwebsite/sa/en/investors/governance/board-of-directors.html","Kaynak")</f>
        <v/>
      </c>
    </row>
    <row r="115" ht="30" customHeight="1">
      <c r="A115" s="8" t="n">
        <v>113</v>
      </c>
      <c r="B115" s="14" t="inlineStr">
        <is>
          <t>Borsa Kurul/C-Suite</t>
        </is>
      </c>
      <c r="C115" s="10" t="inlineStr">
        <is>
          <t>Telecom</t>
        </is>
      </c>
      <c r="D115" s="10" t="inlineStr">
        <is>
          <t>Olayan bin Mohammed Alwetaid</t>
        </is>
      </c>
      <c r="E115" s="10" t="inlineStr">
        <is>
          <t>Group CEO</t>
        </is>
      </c>
      <c r="F115" s="10" t="inlineStr">
        <is>
          <t>stc (Saudi Telecom)</t>
        </is>
      </c>
      <c r="G115" s="10" t="inlineStr">
        <is>
          <t>Suudi Arabistan</t>
        </is>
      </c>
      <c r="H115" s="13" t="inlineStr">
        <is>
          <t>Yüksek (profesyonel)</t>
        </is>
      </c>
      <c r="I115" s="11">
        <f>HYPERLINK("https://sa.linkedin.com/in/olayan-alwetaid-2a4a163","LinkedIn profili")</f>
        <v/>
      </c>
      <c r="J115" s="11">
        <f>HYPERLINK("https://www.stc.com","stc.com")</f>
        <v/>
      </c>
      <c r="K115" s="10" t="inlineStr"/>
      <c r="L115" s="10" t="inlineStr"/>
      <c r="M115" s="10" t="inlineStr"/>
      <c r="N115" s="10" t="inlineStr"/>
      <c r="O115" s="11">
        <f>HYPERLINK("https://www.stc.com/content/stcgroupwebsite/sa/en/who-we-are/board-of-directors-and-executive-management.html","Kaynak")</f>
        <v/>
      </c>
    </row>
    <row r="116" ht="30" customHeight="1">
      <c r="A116" s="8" t="n">
        <v>114</v>
      </c>
      <c r="B116" s="14" t="inlineStr">
        <is>
          <t>Borsa Kurul/C-Suite</t>
        </is>
      </c>
      <c r="C116" s="10" t="inlineStr">
        <is>
          <t>Telecom</t>
        </is>
      </c>
      <c r="D116" s="10" t="inlineStr">
        <is>
          <t>Ameen Fahad Alshiddi</t>
        </is>
      </c>
      <c r="E116" s="10" t="inlineStr">
        <is>
          <t>Group CFO</t>
        </is>
      </c>
      <c r="F116" s="10" t="inlineStr">
        <is>
          <t>stc (Saudi Telecom)</t>
        </is>
      </c>
      <c r="G116" s="10" t="inlineStr">
        <is>
          <t>Suudi Arabistan</t>
        </is>
      </c>
      <c r="H116" s="13" t="inlineStr">
        <is>
          <t>Yüksek (profesyonel)</t>
        </is>
      </c>
      <c r="I116" s="11">
        <f>HYPERLINK("https://www.linkedin.com/search/results/people/?keywords=Ameen%20Alshiddi%20stc","LinkedIn'de bul")</f>
        <v/>
      </c>
      <c r="J116" s="11">
        <f>HYPERLINK("https://www.stc.com","stc.com")</f>
        <v/>
      </c>
      <c r="K116" s="10" t="inlineStr"/>
      <c r="L116" s="10" t="inlineStr"/>
      <c r="M116" s="10" t="inlineStr"/>
      <c r="N116" s="10" t="inlineStr"/>
      <c r="O116" s="11">
        <f>HYPERLINK("https://www.stc.com/content/stcgroupwebsite/sa/en/who-we-are/board-of-directors-and-executive-management.html","Kaynak")</f>
        <v/>
      </c>
    </row>
    <row r="117" ht="30" customHeight="1">
      <c r="A117" s="8" t="n">
        <v>115</v>
      </c>
      <c r="B117" s="14" t="inlineStr">
        <is>
          <t>Borsa Kurul/C-Suite</t>
        </is>
      </c>
      <c r="C117" s="10" t="inlineStr">
        <is>
          <t>Telecom</t>
        </is>
      </c>
      <c r="D117" s="10" t="inlineStr">
        <is>
          <t>Suliman Abdulaziz Al Gwaiz</t>
        </is>
      </c>
      <c r="E117" s="10" t="inlineStr">
        <is>
          <t>Chairman</t>
        </is>
      </c>
      <c r="F117" s="10" t="inlineStr">
        <is>
          <t>Mobily (Etihad Etisalat)</t>
        </is>
      </c>
      <c r="G117" s="10" t="inlineStr">
        <is>
          <t>Suudi Arabistan</t>
        </is>
      </c>
      <c r="H117" s="10" t="inlineStr">
        <is>
          <t>Orta (başkan)</t>
        </is>
      </c>
      <c r="I117" s="11">
        <f>HYPERLINK("https://www.linkedin.com/search/results/people/?keywords=Suliman%20Al%20Gwaiz%20Mobily","LinkedIn'de bul")</f>
        <v/>
      </c>
      <c r="J117" s="11">
        <f>HYPERLINK("https://www.mobily.com.sa","mobily.com.sa")</f>
        <v/>
      </c>
      <c r="K117" s="10" t="inlineStr"/>
      <c r="L117" s="10" t="inlineStr"/>
      <c r="M117" s="10" t="inlineStr"/>
      <c r="N117" s="10" t="inlineStr"/>
      <c r="O117" s="11">
        <f>HYPERLINK("https://www.mobily.com.sa/en/about-us/board-members","Kaynak")</f>
        <v/>
      </c>
    </row>
    <row r="118" ht="30" customHeight="1">
      <c r="A118" s="8" t="n">
        <v>116</v>
      </c>
      <c r="B118" s="14" t="inlineStr">
        <is>
          <t>Borsa Kurul/C-Suite</t>
        </is>
      </c>
      <c r="C118" s="10" t="inlineStr">
        <is>
          <t>Telecom</t>
        </is>
      </c>
      <c r="D118" s="10" t="inlineStr">
        <is>
          <t>Nezar Banabeela</t>
        </is>
      </c>
      <c r="E118" s="10" t="inlineStr">
        <is>
          <t>CEO</t>
        </is>
      </c>
      <c r="F118" s="10" t="inlineStr">
        <is>
          <t>Mobily (Etihad Etisalat)</t>
        </is>
      </c>
      <c r="G118" s="10" t="inlineStr">
        <is>
          <t>Suudi Arabistan</t>
        </is>
      </c>
      <c r="H118" s="13" t="inlineStr">
        <is>
          <t>Yüksek (profesyonel)</t>
        </is>
      </c>
      <c r="I118" s="11">
        <f>HYPERLINK("https://www.linkedin.com/search/results/people/?keywords=Nezar%20Banabeela%20Mobily","LinkedIn'de bul")</f>
        <v/>
      </c>
      <c r="J118" s="11">
        <f>HYPERLINK("https://www.mobily.com.sa","mobily.com.sa")</f>
        <v/>
      </c>
      <c r="K118" s="10" t="inlineStr"/>
      <c r="L118" s="10" t="inlineStr"/>
      <c r="M118" s="10" t="inlineStr"/>
      <c r="N118" s="10" t="inlineStr"/>
      <c r="O118" s="11">
        <f>HYPERLINK("https://www.tadawulgroup.sa","Kaynak")</f>
        <v/>
      </c>
    </row>
    <row r="119" ht="30" customHeight="1">
      <c r="A119" s="8" t="n">
        <v>117</v>
      </c>
      <c r="B119" s="14" t="inlineStr">
        <is>
          <t>Borsa Kurul/C-Suite</t>
        </is>
      </c>
      <c r="C119" s="10" t="inlineStr">
        <is>
          <t>Telecom</t>
        </is>
      </c>
      <c r="D119" s="10" t="inlineStr">
        <is>
          <t>Abdullah bin Fahad Al-Fares</t>
        </is>
      </c>
      <c r="E119" s="10" t="inlineStr">
        <is>
          <t>Chairman</t>
        </is>
      </c>
      <c r="F119" s="10" t="inlineStr">
        <is>
          <t>Zain KSA</t>
        </is>
      </c>
      <c r="G119" s="10" t="inlineStr">
        <is>
          <t>Suudi Arabistan</t>
        </is>
      </c>
      <c r="H119" s="10" t="inlineStr">
        <is>
          <t>Orta (başkan)</t>
        </is>
      </c>
      <c r="I119" s="11">
        <f>HYPERLINK("https://www.linkedin.com/search/results/people/?keywords=Abdullah%20Al-Fares%20Zain%20KSA","LinkedIn'de bul")</f>
        <v/>
      </c>
      <c r="J119" s="11">
        <f>HYPERLINK("https://sa.zain.com","sa.zain.com")</f>
        <v/>
      </c>
      <c r="K119" s="10" t="inlineStr"/>
      <c r="L119" s="10" t="inlineStr"/>
      <c r="M119" s="10" t="inlineStr"/>
      <c r="N119" s="10" t="inlineStr"/>
      <c r="O119" s="11">
        <f>HYPERLINK("https://sa.zain.com/en/investors/leadership-team","Kaynak")</f>
        <v/>
      </c>
    </row>
    <row r="120" ht="30" customHeight="1">
      <c r="A120" s="8" t="n">
        <v>118</v>
      </c>
      <c r="B120" s="14" t="inlineStr">
        <is>
          <t>Borsa Kurul/C-Suite</t>
        </is>
      </c>
      <c r="C120" s="10" t="inlineStr">
        <is>
          <t>Telecom</t>
        </is>
      </c>
      <c r="D120" s="10" t="inlineStr">
        <is>
          <t>Saad bin Abdulrahman AlSadhan</t>
        </is>
      </c>
      <c r="E120" s="10" t="inlineStr">
        <is>
          <t>CEO</t>
        </is>
      </c>
      <c r="F120" s="10" t="inlineStr">
        <is>
          <t>Zain KSA</t>
        </is>
      </c>
      <c r="G120" s="10" t="inlineStr">
        <is>
          <t>Suudi Arabistan</t>
        </is>
      </c>
      <c r="H120" s="13" t="inlineStr">
        <is>
          <t>Yüksek (profesyonel)</t>
        </is>
      </c>
      <c r="I120" s="11">
        <f>HYPERLINK("https://www.linkedin.com/search/results/people/?keywords=Saad%20AlSadhan%20Zain%20KSA","LinkedIn'de bul")</f>
        <v/>
      </c>
      <c r="J120" s="11">
        <f>HYPERLINK("https://sa.zain.com","sa.zain.com")</f>
        <v/>
      </c>
      <c r="K120" s="10" t="inlineStr"/>
      <c r="L120" s="10" t="inlineStr"/>
      <c r="M120" s="10" t="inlineStr"/>
      <c r="N120" s="10" t="inlineStr"/>
      <c r="O120" s="11">
        <f>HYPERLINK("https://sa.zain.com/en/all-news/zain-ksa-appoints-eng-saad-bin-abdulrahman-alsadhan-chief-executive-officer","Kaynak")</f>
        <v/>
      </c>
    </row>
    <row r="121" ht="30" customHeight="1">
      <c r="A121" s="8" t="n">
        <v>119</v>
      </c>
      <c r="B121" s="14" t="inlineStr">
        <is>
          <t>Borsa Kurul/C-Suite</t>
        </is>
      </c>
      <c r="C121" s="10" t="inlineStr">
        <is>
          <t>Food &amp; Beverage</t>
        </is>
      </c>
      <c r="D121" s="10" t="inlineStr">
        <is>
          <t>Fawaz Aljasser</t>
        </is>
      </c>
      <c r="E121" s="10" t="inlineStr">
        <is>
          <t>CEO</t>
        </is>
      </c>
      <c r="F121" s="10" t="inlineStr">
        <is>
          <t>Almarai</t>
        </is>
      </c>
      <c r="G121" s="10" t="inlineStr">
        <is>
          <t>Suudi Arabistan</t>
        </is>
      </c>
      <c r="H121" s="13" t="inlineStr">
        <is>
          <t>Yüksek (profesyonel)</t>
        </is>
      </c>
      <c r="I121" s="11">
        <f>HYPERLINK("https://www.linkedin.com/search/results/people/?keywords=Fawaz%20Aljasser%20Almarai","LinkedIn'de bul")</f>
        <v/>
      </c>
      <c r="J121" s="11">
        <f>HYPERLINK("https://www.almarai.com","almarai.com")</f>
        <v/>
      </c>
      <c r="K121" s="10" t="inlineStr"/>
      <c r="L121" s="10" t="inlineStr"/>
      <c r="M121" s="10" t="inlineStr"/>
      <c r="N121" s="10" t="inlineStr"/>
      <c r="O121" s="11">
        <f>HYPERLINK("https://www.almarai.com/en/corporate/about-almarai/senior-management","Kaynak")</f>
        <v/>
      </c>
    </row>
    <row r="122" ht="30" customHeight="1">
      <c r="A122" s="8" t="n">
        <v>120</v>
      </c>
      <c r="B122" s="14" t="inlineStr">
        <is>
          <t>Borsa Kurul/C-Suite</t>
        </is>
      </c>
      <c r="C122" s="10" t="inlineStr">
        <is>
          <t>Food &amp; Beverage</t>
        </is>
      </c>
      <c r="D122" s="10" t="inlineStr">
        <is>
          <t>Danko Maras</t>
        </is>
      </c>
      <c r="E122" s="10" t="inlineStr">
        <is>
          <t>CFO</t>
        </is>
      </c>
      <c r="F122" s="10" t="inlineStr">
        <is>
          <t>Almarai</t>
        </is>
      </c>
      <c r="G122" s="10" t="inlineStr">
        <is>
          <t>Suudi Arabistan</t>
        </is>
      </c>
      <c r="H122" s="13" t="inlineStr">
        <is>
          <t>Yüksek (profesyonel)</t>
        </is>
      </c>
      <c r="I122" s="11">
        <f>HYPERLINK("https://www.linkedin.com/search/results/people/?keywords=Danko%20Maras%20Almarai","LinkedIn'de bul")</f>
        <v/>
      </c>
      <c r="J122" s="11">
        <f>HYPERLINK("https://www.almarai.com","almarai.com")</f>
        <v/>
      </c>
      <c r="K122" s="10" t="inlineStr"/>
      <c r="L122" s="10" t="inlineStr"/>
      <c r="M122" s="10" t="inlineStr"/>
      <c r="N122" s="10" t="inlineStr"/>
      <c r="O122" s="11">
        <f>HYPERLINK("https://annualreport.almarai.com/governance/executive-management/","Kaynak")</f>
        <v/>
      </c>
    </row>
    <row r="123" ht="30" customHeight="1">
      <c r="A123" s="8" t="n">
        <v>121</v>
      </c>
      <c r="B123" s="14" t="inlineStr">
        <is>
          <t>Borsa Kurul/C-Suite</t>
        </is>
      </c>
      <c r="C123" s="10" t="inlineStr">
        <is>
          <t>Food &amp; Beverage</t>
        </is>
      </c>
      <c r="D123" s="10" t="inlineStr">
        <is>
          <t>Sameh Mahmoud Hassan</t>
        </is>
      </c>
      <c r="E123" s="10" t="inlineStr">
        <is>
          <t>Group CEO</t>
        </is>
      </c>
      <c r="F123" s="10" t="inlineStr">
        <is>
          <t>Savola Group</t>
        </is>
      </c>
      <c r="G123" s="10" t="inlineStr">
        <is>
          <t>Suudi Arabistan</t>
        </is>
      </c>
      <c r="H123" s="13" t="inlineStr">
        <is>
          <t>Yüksek (profesyonel)</t>
        </is>
      </c>
      <c r="I123" s="11">
        <f>HYPERLINK("https://www.linkedin.com/search/results/people/?keywords=Sameh%20Hassan%20Savola","LinkedIn'de bul")</f>
        <v/>
      </c>
      <c r="J123" s="11">
        <f>HYPERLINK("https://www.savola.com","savola.com")</f>
        <v/>
      </c>
      <c r="K123" s="10" t="inlineStr"/>
      <c r="L123" s="10" t="inlineStr"/>
      <c r="M123" s="10" t="inlineStr"/>
      <c r="N123" s="10" t="inlineStr"/>
      <c r="O123" s="11">
        <f>HYPERLINK("https://www.savola.com/en/about-us/leadership-team","Kaynak")</f>
        <v/>
      </c>
    </row>
    <row r="124" ht="30" customHeight="1">
      <c r="A124" s="8" t="n">
        <v>122</v>
      </c>
      <c r="B124" s="14" t="inlineStr">
        <is>
          <t>Borsa Kurul/C-Suite</t>
        </is>
      </c>
      <c r="C124" s="10" t="inlineStr">
        <is>
          <t>Food &amp; Beverage</t>
        </is>
      </c>
      <c r="D124" s="10" t="inlineStr">
        <is>
          <t>Wajid Usman Khan</t>
        </is>
      </c>
      <c r="E124" s="10" t="inlineStr">
        <is>
          <t>CFO</t>
        </is>
      </c>
      <c r="F124" s="10" t="inlineStr">
        <is>
          <t>Savola Group</t>
        </is>
      </c>
      <c r="G124" s="10" t="inlineStr">
        <is>
          <t>Suudi Arabistan</t>
        </is>
      </c>
      <c r="H124" s="13" t="inlineStr">
        <is>
          <t>Yüksek (profesyonel)</t>
        </is>
      </c>
      <c r="I124" s="11">
        <f>HYPERLINK("https://www.linkedin.com/search/results/people/?keywords=Wajid%20Usman%20Khan%20Savola","LinkedIn'de bul")</f>
        <v/>
      </c>
      <c r="J124" s="11">
        <f>HYPERLINK("https://www.savola.com","savola.com")</f>
        <v/>
      </c>
      <c r="K124" s="10" t="inlineStr"/>
      <c r="L124" s="10" t="inlineStr"/>
      <c r="M124" s="10" t="inlineStr"/>
      <c r="N124" s="10" t="inlineStr"/>
      <c r="O124" s="11">
        <f>HYPERLINK("https://www.savola.com/en/about-us/leadership-team","Kaynak")</f>
        <v/>
      </c>
    </row>
    <row r="125" ht="30" customHeight="1">
      <c r="A125" s="8" t="n">
        <v>123</v>
      </c>
      <c r="B125" s="14" t="inlineStr">
        <is>
          <t>Borsa Kurul/C-Suite</t>
        </is>
      </c>
      <c r="C125" s="10" t="inlineStr">
        <is>
          <t>Retail</t>
        </is>
      </c>
      <c r="D125" s="10" t="inlineStr">
        <is>
          <t>Muhammad bin Abdulrahman Al-Agil</t>
        </is>
      </c>
      <c r="E125" s="10" t="inlineStr">
        <is>
          <t>Chairman</t>
        </is>
      </c>
      <c r="F125" s="10" t="inlineStr">
        <is>
          <t>Jarir Marketing</t>
        </is>
      </c>
      <c r="G125" s="10" t="inlineStr">
        <is>
          <t>Suudi Arabistan</t>
        </is>
      </c>
      <c r="H125" s="10" t="inlineStr">
        <is>
          <t>Orta (başkan)</t>
        </is>
      </c>
      <c r="I125" s="11">
        <f>HYPERLINK("https://www.linkedin.com/search/results/people/?keywords=Muhammad%20Al-Agil%20Jarir","LinkedIn'de bul")</f>
        <v/>
      </c>
      <c r="J125" s="11">
        <f>HYPERLINK("https://www.jarir.com","jarir.com")</f>
        <v/>
      </c>
      <c r="K125" s="10" t="inlineStr"/>
      <c r="L125" s="10" t="inlineStr"/>
      <c r="M125" s="10" t="inlineStr"/>
      <c r="N125" s="10" t="inlineStr"/>
      <c r="O125" s="11">
        <f>HYPERLINK("https://www.jarir.com/sa-en/about-jarir/board-of-directors","Kaynak")</f>
        <v/>
      </c>
    </row>
    <row r="126" ht="30" customHeight="1">
      <c r="A126" s="8" t="n">
        <v>124</v>
      </c>
      <c r="B126" s="14" t="inlineStr">
        <is>
          <t>Borsa Kurul/C-Suite</t>
        </is>
      </c>
      <c r="C126" s="10" t="inlineStr">
        <is>
          <t>Retail</t>
        </is>
      </c>
      <c r="D126" s="10" t="inlineStr">
        <is>
          <t>Abdulkarim bin Abdulrahman Al-Agil</t>
        </is>
      </c>
      <c r="E126" s="10" t="inlineStr">
        <is>
          <t>CEO &amp; Vice Chairman</t>
        </is>
      </c>
      <c r="F126" s="10" t="inlineStr">
        <is>
          <t>Jarir Marketing</t>
        </is>
      </c>
      <c r="G126" s="10" t="inlineStr">
        <is>
          <t>Suudi Arabistan</t>
        </is>
      </c>
      <c r="H126" s="13" t="inlineStr">
        <is>
          <t>Yüksek (profesyonel)</t>
        </is>
      </c>
      <c r="I126" s="11">
        <f>HYPERLINK("https://www.linkedin.com/search/results/people/?keywords=Abdulkarim%20Al-Agil%20Jarir","LinkedIn'de bul")</f>
        <v/>
      </c>
      <c r="J126" s="11">
        <f>HYPERLINK("https://www.jarir.com","jarir.com")</f>
        <v/>
      </c>
      <c r="K126" s="10" t="inlineStr"/>
      <c r="L126" s="10" t="inlineStr"/>
      <c r="M126" s="10" t="inlineStr"/>
      <c r="N126" s="10" t="inlineStr"/>
      <c r="O126" s="11">
        <f>HYPERLINK("https://www.jarir.com/sa-en/about-jarir/board-of-directors","Kaynak")</f>
        <v/>
      </c>
    </row>
    <row r="127" ht="30" customHeight="1">
      <c r="A127" s="8" t="n">
        <v>125</v>
      </c>
      <c r="B127" s="14" t="inlineStr">
        <is>
          <t>Borsa Kurul/C-Suite</t>
        </is>
      </c>
      <c r="C127" s="10" t="inlineStr">
        <is>
          <t>Retail</t>
        </is>
      </c>
      <c r="D127" s="10" t="inlineStr">
        <is>
          <t>Muaffag Abdullah Mubarah</t>
        </is>
      </c>
      <c r="E127" s="10" t="inlineStr">
        <is>
          <t>CEO</t>
        </is>
      </c>
      <c r="F127" s="10" t="inlineStr">
        <is>
          <t>Abdullah Al Othaim Markets</t>
        </is>
      </c>
      <c r="G127" s="10" t="inlineStr">
        <is>
          <t>Suudi Arabistan</t>
        </is>
      </c>
      <c r="H127" s="13" t="inlineStr">
        <is>
          <t>Yüksek (profesyonel)</t>
        </is>
      </c>
      <c r="I127" s="11">
        <f>HYPERLINK("https://www.linkedin.com/search/results/people/?keywords=Muaffag%20Mubarah%20Al%20Othaim","LinkedIn'de bul")</f>
        <v/>
      </c>
      <c r="J127" s="11">
        <f>HYPERLINK("https://www.othaimmarkets.com","othaimmarkets.com")</f>
        <v/>
      </c>
      <c r="K127" s="10" t="inlineStr"/>
      <c r="L127" s="10" t="inlineStr"/>
      <c r="M127" s="10" t="inlineStr"/>
      <c r="N127" s="10" t="inlineStr"/>
      <c r="O127" s="11">
        <f>HYPERLINK("https://www.marketscreener.com/quote/stock/ABDULLAH-AL-OTHAIM-MARKET-6500858/company-governance/","Kaynak")</f>
        <v/>
      </c>
    </row>
    <row r="128" ht="30" customHeight="1">
      <c r="A128" s="8" t="n">
        <v>126</v>
      </c>
      <c r="B128" s="14" t="inlineStr">
        <is>
          <t>Borsa Kurul/C-Suite</t>
        </is>
      </c>
      <c r="C128" s="10" t="inlineStr">
        <is>
          <t>Healthcare</t>
        </is>
      </c>
      <c r="D128" s="10" t="inlineStr">
        <is>
          <t>Saleh Salem Bin Mahfouz</t>
        </is>
      </c>
      <c r="E128" s="10" t="inlineStr">
        <is>
          <t>Chairman</t>
        </is>
      </c>
      <c r="F128" s="10" t="inlineStr">
        <is>
          <t>Nahdi Medical</t>
        </is>
      </c>
      <c r="G128" s="10" t="inlineStr">
        <is>
          <t>Suudi Arabistan</t>
        </is>
      </c>
      <c r="H128" s="10" t="inlineStr">
        <is>
          <t>Orta (başkan)</t>
        </is>
      </c>
      <c r="I128" s="11">
        <f>HYPERLINK("https://www.linkedin.com/search/results/people/?keywords=Saleh%20Bin%20Mahfouz%20Nahdi","LinkedIn'de bul")</f>
        <v/>
      </c>
      <c r="J128" s="11">
        <f>HYPERLINK("https://nahdi.sa","nahdi.sa")</f>
        <v/>
      </c>
      <c r="K128" s="10" t="inlineStr"/>
      <c r="L128" s="10" t="inlineStr"/>
      <c r="M128" s="10" t="inlineStr"/>
      <c r="N128" s="10" t="inlineStr"/>
      <c r="O128" s="11">
        <f>HYPERLINK("https://investors.nahdi.sa/en/governance/","Kaynak")</f>
        <v/>
      </c>
    </row>
    <row r="129" ht="30" customHeight="1">
      <c r="A129" s="8" t="n">
        <v>127</v>
      </c>
      <c r="B129" s="14" t="inlineStr">
        <is>
          <t>Borsa Kurul/C-Suite</t>
        </is>
      </c>
      <c r="C129" s="10" t="inlineStr">
        <is>
          <t>Healthcare</t>
        </is>
      </c>
      <c r="D129" s="10" t="inlineStr">
        <is>
          <t>Yasser Joharji</t>
        </is>
      </c>
      <c r="E129" s="10" t="inlineStr">
        <is>
          <t>CEO</t>
        </is>
      </c>
      <c r="F129" s="10" t="inlineStr">
        <is>
          <t>Nahdi Medical</t>
        </is>
      </c>
      <c r="G129" s="10" t="inlineStr">
        <is>
          <t>Suudi Arabistan</t>
        </is>
      </c>
      <c r="H129" s="13" t="inlineStr">
        <is>
          <t>Yüksek (profesyonel)</t>
        </is>
      </c>
      <c r="I129" s="11">
        <f>HYPERLINK("https://sa.linkedin.com/in/yasser-joharji-59b20b15","LinkedIn profili")</f>
        <v/>
      </c>
      <c r="J129" s="11">
        <f>HYPERLINK("https://nahdi.sa","nahdi.sa")</f>
        <v/>
      </c>
      <c r="K129" s="10" t="inlineStr"/>
      <c r="L129" s="10" t="inlineStr"/>
      <c r="M129" s="10" t="inlineStr"/>
      <c r="N129" s="10" t="inlineStr"/>
      <c r="O129" s="11">
        <f>HYPERLINK("https://nahdi.sa/about-nahdi/executive-team/","Kaynak")</f>
        <v/>
      </c>
    </row>
    <row r="130" ht="30" customHeight="1">
      <c r="A130" s="8" t="n">
        <v>128</v>
      </c>
      <c r="B130" s="14" t="inlineStr">
        <is>
          <t>Borsa Kurul/C-Suite</t>
        </is>
      </c>
      <c r="C130" s="10" t="inlineStr">
        <is>
          <t>Healthcare</t>
        </is>
      </c>
      <c r="D130" s="10" t="inlineStr">
        <is>
          <t>Mohammed Al-Khubani</t>
        </is>
      </c>
      <c r="E130" s="10" t="inlineStr">
        <is>
          <t>CFO</t>
        </is>
      </c>
      <c r="F130" s="10" t="inlineStr">
        <is>
          <t>Nahdi Medical</t>
        </is>
      </c>
      <c r="G130" s="10" t="inlineStr">
        <is>
          <t>Suudi Arabistan</t>
        </is>
      </c>
      <c r="H130" s="13" t="inlineStr">
        <is>
          <t>Yüksek (profesyonel)</t>
        </is>
      </c>
      <c r="I130" s="11">
        <f>HYPERLINK("https://www.linkedin.com/search/results/people/?keywords=Mohammed%20Al-Khubani%20Nahdi","LinkedIn'de bul")</f>
        <v/>
      </c>
      <c r="J130" s="11">
        <f>HYPERLINK("https://nahdi.sa","nahdi.sa")</f>
        <v/>
      </c>
      <c r="K130" s="10" t="inlineStr"/>
      <c r="L130" s="10" t="inlineStr"/>
      <c r="M130" s="10" t="inlineStr"/>
      <c r="N130" s="10" t="inlineStr"/>
      <c r="O130" s="11">
        <f>HYPERLINK("https://investors.nahdi.sa/en/governance/","Kaynak")</f>
        <v/>
      </c>
    </row>
    <row r="131" ht="30" customHeight="1">
      <c r="A131" s="8" t="n">
        <v>129</v>
      </c>
      <c r="B131" s="14" t="inlineStr">
        <is>
          <t>Borsa Kurul/C-Suite</t>
        </is>
      </c>
      <c r="C131" s="10" t="inlineStr">
        <is>
          <t>Healthcare</t>
        </is>
      </c>
      <c r="D131" s="10" t="inlineStr">
        <is>
          <t>Faisal Abdullah Al Nassar</t>
        </is>
      </c>
      <c r="E131" s="10" t="inlineStr">
        <is>
          <t>Group CEO &amp; CFO</t>
        </is>
      </c>
      <c r="F131" s="10" t="inlineStr">
        <is>
          <t>Dr Sulaiman Al Habib (HMG)</t>
        </is>
      </c>
      <c r="G131" s="10" t="inlineStr">
        <is>
          <t>Suudi Arabistan</t>
        </is>
      </c>
      <c r="H131" s="13" t="inlineStr">
        <is>
          <t>Yüksek (profesyonel)</t>
        </is>
      </c>
      <c r="I131" s="11">
        <f>HYPERLINK("https://www.linkedin.com/search/results/people/?keywords=Faisal%20Al%20Nassar%20Al%20Habib%20Medical","LinkedIn'de bul")</f>
        <v/>
      </c>
      <c r="J131" s="11">
        <f>HYPERLINK("https://hmg.com","hmg.com")</f>
        <v/>
      </c>
      <c r="K131" s="10" t="inlineStr"/>
      <c r="L131" s="10" t="inlineStr"/>
      <c r="M131" s="10" t="inlineStr"/>
      <c r="N131" s="10" t="inlineStr"/>
      <c r="O131" s="11">
        <f>HYPERLINK("https://www.argaam.com/en/article/articledetail/id/1675221","Kaynak")</f>
        <v/>
      </c>
    </row>
    <row r="132" ht="30" customHeight="1">
      <c r="A132" s="8" t="n">
        <v>130</v>
      </c>
      <c r="B132" s="14" t="inlineStr">
        <is>
          <t>Borsa Kurul/C-Suite</t>
        </is>
      </c>
      <c r="C132" s="10" t="inlineStr">
        <is>
          <t>Food &amp; Beverage</t>
        </is>
      </c>
      <c r="D132" s="10" t="inlineStr">
        <is>
          <t>Patrick Othmar Stillhart</t>
        </is>
      </c>
      <c r="E132" s="10" t="inlineStr">
        <is>
          <t>CEO</t>
        </is>
      </c>
      <c r="F132" s="10" t="inlineStr">
        <is>
          <t>SADAFCO</t>
        </is>
      </c>
      <c r="G132" s="10" t="inlineStr">
        <is>
          <t>Suudi Arabistan</t>
        </is>
      </c>
      <c r="H132" s="13" t="inlineStr">
        <is>
          <t>Yüksek (profesyonel)</t>
        </is>
      </c>
      <c r="I132" s="11">
        <f>HYPERLINK("https://www.linkedin.com/search/results/people/?keywords=Patrick%20Stillhart%20SADAFCO","LinkedIn'de bul")</f>
        <v/>
      </c>
      <c r="J132" s="11">
        <f>HYPERLINK("https://www.sadafco.com","sadafco.com")</f>
        <v/>
      </c>
      <c r="K132" s="10" t="inlineStr"/>
      <c r="L132" s="10" t="inlineStr"/>
      <c r="M132" s="10" t="inlineStr"/>
      <c r="N132" s="10" t="inlineStr"/>
      <c r="O132" s="11">
        <f>HYPERLINK("https://www.sadafco.com/about-us/the-board/","Kaynak")</f>
        <v/>
      </c>
    </row>
    <row r="133" ht="30" customHeight="1">
      <c r="A133" s="8" t="n">
        <v>131</v>
      </c>
      <c r="B133" s="14" t="inlineStr">
        <is>
          <t>Borsa Kurul/C-Suite</t>
        </is>
      </c>
      <c r="C133" s="10" t="inlineStr">
        <is>
          <t>Food &amp; Beverage</t>
        </is>
      </c>
      <c r="D133" s="10" t="inlineStr">
        <is>
          <t>Glen Kelly</t>
        </is>
      </c>
      <c r="E133" s="10" t="inlineStr">
        <is>
          <t>CFO</t>
        </is>
      </c>
      <c r="F133" s="10" t="inlineStr">
        <is>
          <t>SADAFCO</t>
        </is>
      </c>
      <c r="G133" s="10" t="inlineStr">
        <is>
          <t>Suudi Arabistan</t>
        </is>
      </c>
      <c r="H133" s="13" t="inlineStr">
        <is>
          <t>Yüksek (profesyonel)</t>
        </is>
      </c>
      <c r="I133" s="11">
        <f>HYPERLINK("https://www.linkedin.com/search/results/people/?keywords=Glen%20Kelly%20SADAFCO","LinkedIn'de bul")</f>
        <v/>
      </c>
      <c r="J133" s="11">
        <f>HYPERLINK("https://www.sadafco.com","sadafco.com")</f>
        <v/>
      </c>
      <c r="K133" s="10" t="inlineStr"/>
      <c r="L133" s="10" t="inlineStr"/>
      <c r="M133" s="10" t="inlineStr"/>
      <c r="N133" s="10" t="inlineStr"/>
      <c r="O133" s="11">
        <f>HYPERLINK("https://www.sadafco.com/about-us/the-board/","Kaynak")</f>
        <v/>
      </c>
    </row>
    <row r="134" ht="30" customHeight="1">
      <c r="A134" s="8" t="n">
        <v>132</v>
      </c>
      <c r="B134" s="14" t="inlineStr">
        <is>
          <t>Borsa Kurul/C-Suite</t>
        </is>
      </c>
      <c r="C134" s="10" t="inlineStr">
        <is>
          <t>Banking</t>
        </is>
      </c>
      <c r="D134" s="10" t="inlineStr">
        <is>
          <t>Sheikh Tahnoon bin Zayed Al Nahyan</t>
        </is>
      </c>
      <c r="E134" s="10" t="inlineStr">
        <is>
          <t>Chairman</t>
        </is>
      </c>
      <c r="F134" s="10" t="inlineStr">
        <is>
          <t>First Abu Dhabi Bank (FAB)</t>
        </is>
      </c>
      <c r="G134" s="10" t="inlineStr">
        <is>
          <t>BAE</t>
        </is>
      </c>
      <c r="H134" s="10" t="inlineStr">
        <is>
          <t>Düşük (royal/sahip)</t>
        </is>
      </c>
      <c r="I134" s="11">
        <f>HYPERLINK("https://www.linkedin.com/search/results/people/?keywords=Tahnoon%20bin%20Zayed%20Al%20Nahyan%20First%20Abu%20Dhabi%20Bank","LinkedIn'de bul")</f>
        <v/>
      </c>
      <c r="J134" s="11">
        <f>HYPERLINK("https://www.bankfab.com","bankfab.com")</f>
        <v/>
      </c>
      <c r="K134" s="10" t="inlineStr"/>
      <c r="L134" s="10" t="inlineStr"/>
      <c r="M134" s="10" t="inlineStr"/>
      <c r="N134" s="10" t="inlineStr"/>
      <c r="O134" s="11">
        <f>HYPERLINK("https://www.bankfab.com/en-ae/about-fab/group/board-of-directors","Kaynak")</f>
        <v/>
      </c>
    </row>
    <row r="135" ht="30" customHeight="1">
      <c r="A135" s="8" t="n">
        <v>133</v>
      </c>
      <c r="B135" s="14" t="inlineStr">
        <is>
          <t>Borsa Kurul/C-Suite</t>
        </is>
      </c>
      <c r="C135" s="10" t="inlineStr">
        <is>
          <t>Banking</t>
        </is>
      </c>
      <c r="D135" s="10" t="inlineStr">
        <is>
          <t>Lars Kramer</t>
        </is>
      </c>
      <c r="E135" s="10" t="inlineStr">
        <is>
          <t>Group CFO</t>
        </is>
      </c>
      <c r="F135" s="10" t="inlineStr">
        <is>
          <t>First Abu Dhabi Bank (FAB)</t>
        </is>
      </c>
      <c r="G135" s="10" t="inlineStr">
        <is>
          <t>BAE</t>
        </is>
      </c>
      <c r="H135" s="13" t="inlineStr">
        <is>
          <t>Yüksek (profesyonel)</t>
        </is>
      </c>
      <c r="I135" s="11">
        <f>HYPERLINK("https://www.linkedin.com/search/results/people/?keywords=Lars%20Kramer%20First%20Abu%20Dhabi%20Bank","LinkedIn'de bul")</f>
        <v/>
      </c>
      <c r="J135" s="11">
        <f>HYPERLINK("https://www.bankfab.com","bankfab.com")</f>
        <v/>
      </c>
      <c r="K135" s="10" t="inlineStr"/>
      <c r="L135" s="10" t="inlineStr"/>
      <c r="M135" s="10" t="inlineStr"/>
      <c r="N135" s="10" t="inlineStr"/>
      <c r="O135" s="11">
        <f>HYPERLINK("https://www.bankfab.com/en-ae/about-fab/group/senior-management","Kaynak")</f>
        <v/>
      </c>
    </row>
    <row r="136" ht="30" customHeight="1">
      <c r="A136" s="8" t="n">
        <v>134</v>
      </c>
      <c r="B136" s="14" t="inlineStr">
        <is>
          <t>Borsa Kurul/C-Suite</t>
        </is>
      </c>
      <c r="C136" s="10" t="inlineStr">
        <is>
          <t>Banking</t>
        </is>
      </c>
      <c r="D136" s="10" t="inlineStr">
        <is>
          <t>Sheikh Ahmed bin Saeed Al Maktoum</t>
        </is>
      </c>
      <c r="E136" s="10" t="inlineStr">
        <is>
          <t>Chairman</t>
        </is>
      </c>
      <c r="F136" s="10" t="inlineStr">
        <is>
          <t>Emirates NBD</t>
        </is>
      </c>
      <c r="G136" s="10" t="inlineStr">
        <is>
          <t>BAE</t>
        </is>
      </c>
      <c r="H136" s="10" t="inlineStr">
        <is>
          <t>Düşük (royal/sahip)</t>
        </is>
      </c>
      <c r="I136" s="11">
        <f>HYPERLINK("https://www.linkedin.com/search/results/people/?keywords=Ahmed%20bin%20Saeed%20Al%20Maktoum%20Emirates%20NBD","LinkedIn'de bul")</f>
        <v/>
      </c>
      <c r="J136" s="11">
        <f>HYPERLINK("https://www.emiratesnbd.com","emiratesnbd.com")</f>
        <v/>
      </c>
      <c r="K136" s="10" t="inlineStr"/>
      <c r="L136" s="10" t="inlineStr"/>
      <c r="M136" s="10" t="inlineStr"/>
      <c r="N136" s="10" t="inlineStr"/>
      <c r="O136" s="11">
        <f>HYPERLINK("https://www.emiratesnbd.com/en/about-emirates-nbd/corporate-governance/board-of-directors","Kaynak")</f>
        <v/>
      </c>
    </row>
    <row r="137" ht="30" customHeight="1">
      <c r="A137" s="8" t="n">
        <v>135</v>
      </c>
      <c r="B137" s="14" t="inlineStr">
        <is>
          <t>Borsa Kurul/C-Suite</t>
        </is>
      </c>
      <c r="C137" s="10" t="inlineStr">
        <is>
          <t>Banking</t>
        </is>
      </c>
      <c r="D137" s="10" t="inlineStr">
        <is>
          <t>Patrick Sullivan</t>
        </is>
      </c>
      <c r="E137" s="10" t="inlineStr">
        <is>
          <t>Group CFO</t>
        </is>
      </c>
      <c r="F137" s="10" t="inlineStr">
        <is>
          <t>Emirates NBD</t>
        </is>
      </c>
      <c r="G137" s="10" t="inlineStr">
        <is>
          <t>BAE</t>
        </is>
      </c>
      <c r="H137" s="13" t="inlineStr">
        <is>
          <t>Yüksek (profesyonel)</t>
        </is>
      </c>
      <c r="I137" s="11">
        <f>HYPERLINK("https://www.linkedin.com/search/results/people/?keywords=Patrick%20Sullivan%20Emirates%20NBD","LinkedIn'de bul")</f>
        <v/>
      </c>
      <c r="J137" s="11">
        <f>HYPERLINK("https://www.emiratesnbd.com","emiratesnbd.com")</f>
        <v/>
      </c>
      <c r="K137" s="10" t="inlineStr"/>
      <c r="L137" s="10" t="inlineStr"/>
      <c r="M137" s="10" t="inlineStr"/>
      <c r="N137" s="10" t="inlineStr"/>
      <c r="O137" s="11">
        <f>HYPERLINK("https://www.emiratesnbd.com/en/about-emirates-nbd/corporate-governance/management-team","Kaynak")</f>
        <v/>
      </c>
    </row>
    <row r="138" ht="30" customHeight="1">
      <c r="A138" s="8" t="n">
        <v>136</v>
      </c>
      <c r="B138" s="14" t="inlineStr">
        <is>
          <t>Borsa Kurul/C-Suite</t>
        </is>
      </c>
      <c r="C138" s="10" t="inlineStr">
        <is>
          <t>Banking</t>
        </is>
      </c>
      <c r="D138" s="10" t="inlineStr">
        <is>
          <t>Khaldoon Khalifa Al Mubarak</t>
        </is>
      </c>
      <c r="E138" s="10" t="inlineStr">
        <is>
          <t>Chairman</t>
        </is>
      </c>
      <c r="F138" s="10" t="inlineStr">
        <is>
          <t>Abu Dhabi Commercial Bank (ADCB)</t>
        </is>
      </c>
      <c r="G138" s="10" t="inlineStr">
        <is>
          <t>BAE</t>
        </is>
      </c>
      <c r="H138" s="10" t="inlineStr">
        <is>
          <t>Orta (başkan)</t>
        </is>
      </c>
      <c r="I138" s="11">
        <f>HYPERLINK("https://www.linkedin.com/search/results/people/?keywords=Khaldoon%20Al%20Mubarak%20ADCB","LinkedIn'de bul")</f>
        <v/>
      </c>
      <c r="J138" s="11">
        <f>HYPERLINK("https://www.adcb.com","adcb.com")</f>
        <v/>
      </c>
      <c r="K138" s="10" t="inlineStr"/>
      <c r="L138" s="10" t="inlineStr"/>
      <c r="M138" s="10" t="inlineStr"/>
      <c r="N138" s="10" t="inlineStr"/>
      <c r="O138" s="11">
        <f>HYPERLINK("https://www.adcb.com/en/about-us/corporate-governance/executive-management/","Kaynak")</f>
        <v/>
      </c>
    </row>
    <row r="139" ht="30" customHeight="1">
      <c r="A139" s="8" t="n">
        <v>137</v>
      </c>
      <c r="B139" s="14" t="inlineStr">
        <is>
          <t>Borsa Kurul/C-Suite</t>
        </is>
      </c>
      <c r="C139" s="10" t="inlineStr">
        <is>
          <t>Banking</t>
        </is>
      </c>
      <c r="D139" s="10" t="inlineStr">
        <is>
          <t>Ala'a Eraiqat</t>
        </is>
      </c>
      <c r="E139" s="10" t="inlineStr">
        <is>
          <t>Group CEO</t>
        </is>
      </c>
      <c r="F139" s="10" t="inlineStr">
        <is>
          <t>Abu Dhabi Commercial Bank (ADCB)</t>
        </is>
      </c>
      <c r="G139" s="10" t="inlineStr">
        <is>
          <t>BAE</t>
        </is>
      </c>
      <c r="H139" s="13" t="inlineStr">
        <is>
          <t>Yüksek (profesyonel)</t>
        </is>
      </c>
      <c r="I139" s="11">
        <f>HYPERLINK("https://www.linkedin.com/search/results/people/?keywords=Alaa%20Eraiqat%20ADCB","LinkedIn'de bul")</f>
        <v/>
      </c>
      <c r="J139" s="11">
        <f>HYPERLINK("https://www.adcb.com","adcb.com")</f>
        <v/>
      </c>
      <c r="K139" s="10" t="inlineStr"/>
      <c r="L139" s="10" t="inlineStr"/>
      <c r="M139" s="10" t="inlineStr"/>
      <c r="N139" s="10" t="inlineStr"/>
      <c r="O139" s="11">
        <f>HYPERLINK("https://www.adcb.com/en/about-us/corporate-governance/executive-management/","Kaynak")</f>
        <v/>
      </c>
    </row>
    <row r="140" ht="30" customHeight="1">
      <c r="A140" s="8" t="n">
        <v>138</v>
      </c>
      <c r="B140" s="14" t="inlineStr">
        <is>
          <t>Borsa Kurul/C-Suite</t>
        </is>
      </c>
      <c r="C140" s="10" t="inlineStr">
        <is>
          <t>Banking</t>
        </is>
      </c>
      <c r="D140" s="10" t="inlineStr">
        <is>
          <t>Deepak Khullar</t>
        </is>
      </c>
      <c r="E140" s="10" t="inlineStr">
        <is>
          <t>Group CFO</t>
        </is>
      </c>
      <c r="F140" s="10" t="inlineStr">
        <is>
          <t>Abu Dhabi Commercial Bank (ADCB)</t>
        </is>
      </c>
      <c r="G140" s="10" t="inlineStr">
        <is>
          <t>BAE</t>
        </is>
      </c>
      <c r="H140" s="13" t="inlineStr">
        <is>
          <t>Yüksek (profesyonel)</t>
        </is>
      </c>
      <c r="I140" s="11">
        <f>HYPERLINK("https://www.linkedin.com/search/results/people/?keywords=Deepak%20Khullar%20ADCB","LinkedIn'de bul")</f>
        <v/>
      </c>
      <c r="J140" s="11">
        <f>HYPERLINK("https://www.adcb.com","adcb.com")</f>
        <v/>
      </c>
      <c r="K140" s="10" t="inlineStr"/>
      <c r="L140" s="10" t="inlineStr"/>
      <c r="M140" s="10" t="inlineStr"/>
      <c r="N140" s="10" t="inlineStr"/>
      <c r="O140" s="11">
        <f>HYPERLINK("https://www.adcb.com/en/about-us/corporate-governance/executive-management/","Kaynak")</f>
        <v/>
      </c>
    </row>
    <row r="141" ht="30" customHeight="1">
      <c r="A141" s="8" t="n">
        <v>139</v>
      </c>
      <c r="B141" s="14" t="inlineStr">
        <is>
          <t>Borsa Kurul/C-Suite</t>
        </is>
      </c>
      <c r="C141" s="10" t="inlineStr">
        <is>
          <t>Islamic Banking</t>
        </is>
      </c>
      <c r="D141" s="10" t="inlineStr">
        <is>
          <t>Mohammed Ibrahim Al Shaibani</t>
        </is>
      </c>
      <c r="E141" s="10" t="inlineStr">
        <is>
          <t>Chairman</t>
        </is>
      </c>
      <c r="F141" s="10" t="inlineStr">
        <is>
          <t>Dubai Islamic Bank</t>
        </is>
      </c>
      <c r="G141" s="10" t="inlineStr">
        <is>
          <t>BAE</t>
        </is>
      </c>
      <c r="H141" s="10" t="inlineStr">
        <is>
          <t>Orta (başkan)</t>
        </is>
      </c>
      <c r="I141" s="11">
        <f>HYPERLINK("https://www.linkedin.com/search/results/people/?keywords=Mohammed%20Al%20Shaibani%20Dubai%20Islamic%20Bank","LinkedIn'de bul")</f>
        <v/>
      </c>
      <c r="J141" s="11">
        <f>HYPERLINK("https://www.dib.ae","dib.ae")</f>
        <v/>
      </c>
      <c r="K141" s="10" t="inlineStr"/>
      <c r="L141" s="10" t="inlineStr"/>
      <c r="M141" s="10" t="inlineStr"/>
      <c r="N141" s="10" t="inlineStr"/>
      <c r="O141" s="11">
        <f>HYPERLINK("https://www.dib.ae/about-us/leadership-team/board-of-directors","Kaynak")</f>
        <v/>
      </c>
    </row>
    <row r="142" ht="30" customHeight="1">
      <c r="A142" s="8" t="n">
        <v>140</v>
      </c>
      <c r="B142" s="14" t="inlineStr">
        <is>
          <t>Borsa Kurul/C-Suite</t>
        </is>
      </c>
      <c r="C142" s="10" t="inlineStr">
        <is>
          <t>Islamic Banking</t>
        </is>
      </c>
      <c r="D142" s="10" t="inlineStr">
        <is>
          <t>Dr. Adnan Chilwan</t>
        </is>
      </c>
      <c r="E142" s="10" t="inlineStr">
        <is>
          <t>Group CEO</t>
        </is>
      </c>
      <c r="F142" s="10" t="inlineStr">
        <is>
          <t>Dubai Islamic Bank</t>
        </is>
      </c>
      <c r="G142" s="10" t="inlineStr">
        <is>
          <t>BAE</t>
        </is>
      </c>
      <c r="H142" s="13" t="inlineStr">
        <is>
          <t>Yüksek (profesyonel)</t>
        </is>
      </c>
      <c r="I142" s="11">
        <f>HYPERLINK("https://www.linkedin.com/search/results/people/?keywords=Adnan%20Chilwan%20Dubai%20Islamic%20Bank","LinkedIn'de bul")</f>
        <v/>
      </c>
      <c r="J142" s="11">
        <f>HYPERLINK("https://www.dib.ae","dib.ae")</f>
        <v/>
      </c>
      <c r="K142" s="10" t="inlineStr"/>
      <c r="L142" s="10" t="inlineStr"/>
      <c r="M142" s="10" t="inlineStr"/>
      <c r="N142" s="10" t="inlineStr"/>
      <c r="O142" s="11">
        <f>HYPERLINK("https://www.dib.ae/about-us/gceo","Kaynak")</f>
        <v/>
      </c>
    </row>
    <row r="143" ht="30" customHeight="1">
      <c r="A143" s="8" t="n">
        <v>141</v>
      </c>
      <c r="B143" s="14" t="inlineStr">
        <is>
          <t>Borsa Kurul/C-Suite</t>
        </is>
      </c>
      <c r="C143" s="10" t="inlineStr">
        <is>
          <t>Islamic Banking</t>
        </is>
      </c>
      <c r="D143" s="10" t="inlineStr">
        <is>
          <t>John Macedo</t>
        </is>
      </c>
      <c r="E143" s="10" t="inlineStr">
        <is>
          <t>Group CFO</t>
        </is>
      </c>
      <c r="F143" s="10" t="inlineStr">
        <is>
          <t>Dubai Islamic Bank</t>
        </is>
      </c>
      <c r="G143" s="10" t="inlineStr">
        <is>
          <t>BAE</t>
        </is>
      </c>
      <c r="H143" s="13" t="inlineStr">
        <is>
          <t>Yüksek (profesyonel)</t>
        </is>
      </c>
      <c r="I143" s="11">
        <f>HYPERLINK("https://www.linkedin.com/search/results/people/?keywords=John%20Macedo%20Dubai%20Islamic%20Bank","LinkedIn'de bul")</f>
        <v/>
      </c>
      <c r="J143" s="11">
        <f>HYPERLINK("https://www.dib.ae","dib.ae")</f>
        <v/>
      </c>
      <c r="K143" s="10" t="inlineStr"/>
      <c r="L143" s="10" t="inlineStr"/>
      <c r="M143" s="10" t="inlineStr"/>
      <c r="N143" s="10" t="inlineStr"/>
      <c r="O143" s="11">
        <f>HYPERLINK("https://www.dib.ae/about-us/leadership-team/executive-management","Kaynak")</f>
        <v/>
      </c>
    </row>
    <row r="144" ht="30" customHeight="1">
      <c r="A144" s="8" t="n">
        <v>142</v>
      </c>
      <c r="B144" s="14" t="inlineStr">
        <is>
          <t>Borsa Kurul/C-Suite</t>
        </is>
      </c>
      <c r="C144" s="10" t="inlineStr">
        <is>
          <t>Islamic Banking</t>
        </is>
      </c>
      <c r="D144" s="10" t="inlineStr">
        <is>
          <t>Jawaan Awaidha Al Khaili</t>
        </is>
      </c>
      <c r="E144" s="10" t="inlineStr">
        <is>
          <t>Chairman</t>
        </is>
      </c>
      <c r="F144" s="10" t="inlineStr">
        <is>
          <t>Abu Dhabi Islamic Bank (ADIB)</t>
        </is>
      </c>
      <c r="G144" s="10" t="inlineStr">
        <is>
          <t>BAE</t>
        </is>
      </c>
      <c r="H144" s="10" t="inlineStr">
        <is>
          <t>Orta (başkan)</t>
        </is>
      </c>
      <c r="I144" s="11">
        <f>HYPERLINK("https://www.linkedin.com/search/results/people/?keywords=Jawaan%20Al%20Khaili%20ADIB","LinkedIn'de bul")</f>
        <v/>
      </c>
      <c r="J144" s="11">
        <f>HYPERLINK("https://www.adib.ae","adib.ae")</f>
        <v/>
      </c>
      <c r="K144" s="10" t="inlineStr"/>
      <c r="L144" s="10" t="inlineStr"/>
      <c r="M144" s="10" t="inlineStr"/>
      <c r="N144" s="10" t="inlineStr"/>
      <c r="O144" s="11">
        <f>HYPERLINK("https://www.adib.ae/en/about/our-leadership","Kaynak")</f>
        <v/>
      </c>
    </row>
    <row r="145" ht="30" customHeight="1">
      <c r="A145" s="8" t="n">
        <v>143</v>
      </c>
      <c r="B145" s="14" t="inlineStr">
        <is>
          <t>Borsa Kurul/C-Suite</t>
        </is>
      </c>
      <c r="C145" s="10" t="inlineStr">
        <is>
          <t>Islamic Banking</t>
        </is>
      </c>
      <c r="D145" s="10" t="inlineStr">
        <is>
          <t>Mohamed Abdelbary</t>
        </is>
      </c>
      <c r="E145" s="10" t="inlineStr">
        <is>
          <t>Group CEO</t>
        </is>
      </c>
      <c r="F145" s="10" t="inlineStr">
        <is>
          <t>Abu Dhabi Islamic Bank (ADIB)</t>
        </is>
      </c>
      <c r="G145" s="10" t="inlineStr">
        <is>
          <t>BAE</t>
        </is>
      </c>
      <c r="H145" s="13" t="inlineStr">
        <is>
          <t>Yüksek (profesyonel)</t>
        </is>
      </c>
      <c r="I145" s="11">
        <f>HYPERLINK("https://www.linkedin.com/search/results/people/?keywords=Mohamed%20Abdelbary%20ADIB","LinkedIn'de bul")</f>
        <v/>
      </c>
      <c r="J145" s="11">
        <f>HYPERLINK("https://www.adib.ae","adib.ae")</f>
        <v/>
      </c>
      <c r="K145" s="10" t="inlineStr"/>
      <c r="L145" s="10" t="inlineStr"/>
      <c r="M145" s="10" t="inlineStr"/>
      <c r="N145" s="10" t="inlineStr"/>
      <c r="O145" s="11">
        <f>HYPERLINK("https://www.adib.ae/en/news/2024/oct/adib-appoints-mohamed-abdelbary--as-group-chief","Kaynak")</f>
        <v/>
      </c>
    </row>
    <row r="146" ht="30" customHeight="1">
      <c r="A146" s="8" t="n">
        <v>144</v>
      </c>
      <c r="B146" s="14" t="inlineStr">
        <is>
          <t>Borsa Kurul/C-Suite</t>
        </is>
      </c>
      <c r="C146" s="10" t="inlineStr">
        <is>
          <t>Banking</t>
        </is>
      </c>
      <c r="D146" s="10" t="inlineStr">
        <is>
          <t>Abdulaziz Al Ghurair</t>
        </is>
      </c>
      <c r="E146" s="10" t="inlineStr">
        <is>
          <t>Chairman</t>
        </is>
      </c>
      <c r="F146" s="10" t="inlineStr">
        <is>
          <t>Mashreq Bank</t>
        </is>
      </c>
      <c r="G146" s="10" t="inlineStr">
        <is>
          <t>BAE</t>
        </is>
      </c>
      <c r="H146" s="10" t="inlineStr">
        <is>
          <t>Orta (başkan)</t>
        </is>
      </c>
      <c r="I146" s="11">
        <f>HYPERLINK("https://www.linkedin.com/search/results/people/?keywords=Abdulaziz%20Al%20Ghurair%20Mashreq","LinkedIn'de bul")</f>
        <v/>
      </c>
      <c r="J146" s="11">
        <f>HYPERLINK("https://www.mashreq.com","mashreq.com")</f>
        <v/>
      </c>
      <c r="K146" s="10" t="inlineStr"/>
      <c r="L146" s="10" t="inlineStr"/>
      <c r="M146" s="10" t="inlineStr"/>
      <c r="N146" s="10" t="inlineStr"/>
      <c r="O146" s="11">
        <f>HYPERLINK("https://www.mashreqbank.com/uae/en/about-us/company-information/corporate-governance/mgmntteam","Kaynak")</f>
        <v/>
      </c>
    </row>
    <row r="147" ht="30" customHeight="1">
      <c r="A147" s="8" t="n">
        <v>145</v>
      </c>
      <c r="B147" s="14" t="inlineStr">
        <is>
          <t>Borsa Kurul/C-Suite</t>
        </is>
      </c>
      <c r="C147" s="10" t="inlineStr">
        <is>
          <t>Banking</t>
        </is>
      </c>
      <c r="D147" s="10" t="inlineStr">
        <is>
          <t>Norman Tambach</t>
        </is>
      </c>
      <c r="E147" s="10" t="inlineStr">
        <is>
          <t>Group CFO</t>
        </is>
      </c>
      <c r="F147" s="10" t="inlineStr">
        <is>
          <t>Mashreq Bank</t>
        </is>
      </c>
      <c r="G147" s="10" t="inlineStr">
        <is>
          <t>BAE</t>
        </is>
      </c>
      <c r="H147" s="13" t="inlineStr">
        <is>
          <t>Yüksek (profesyonel)</t>
        </is>
      </c>
      <c r="I147" s="11">
        <f>HYPERLINK("https://ae.linkedin.com/in/normantambach","LinkedIn profili")</f>
        <v/>
      </c>
      <c r="J147" s="11">
        <f>HYPERLINK("https://www.mashreq.com","mashreq.com")</f>
        <v/>
      </c>
      <c r="K147" s="10" t="inlineStr"/>
      <c r="L147" s="10" t="inlineStr"/>
      <c r="M147" s="10" t="inlineStr"/>
      <c r="N147" s="10" t="inlineStr"/>
      <c r="O147" s="11">
        <f>HYPERLINK("https://www.mashreq.com/en/uae/about-us/our-company/corporate-governance/management-team/","Kaynak")</f>
        <v/>
      </c>
    </row>
    <row r="148" ht="30" customHeight="1">
      <c r="A148" s="8" t="n">
        <v>146</v>
      </c>
      <c r="B148" s="14" t="inlineStr">
        <is>
          <t>Borsa Kurul/C-Suite</t>
        </is>
      </c>
      <c r="C148" s="10" t="inlineStr">
        <is>
          <t>Islamic Banking</t>
        </is>
      </c>
      <c r="D148" s="10" t="inlineStr">
        <is>
          <t>Hesham Abdulla Al Qassim</t>
        </is>
      </c>
      <c r="E148" s="10" t="inlineStr">
        <is>
          <t>Chairman</t>
        </is>
      </c>
      <c r="F148" s="10" t="inlineStr">
        <is>
          <t>Emirates Islamic</t>
        </is>
      </c>
      <c r="G148" s="10" t="inlineStr">
        <is>
          <t>BAE</t>
        </is>
      </c>
      <c r="H148" s="10" t="inlineStr">
        <is>
          <t>Orta (başkan)</t>
        </is>
      </c>
      <c r="I148" s="11">
        <f>HYPERLINK("https://www.linkedin.com/search/results/people/?keywords=Hesham%20Al%20Qassim%20Emirates%20Islamic","LinkedIn'de bul")</f>
        <v/>
      </c>
      <c r="J148" s="11">
        <f>HYPERLINK("https://www.emiratesislamic.ae","emiratesislamic.ae")</f>
        <v/>
      </c>
      <c r="K148" s="10" t="inlineStr"/>
      <c r="L148" s="10" t="inlineStr"/>
      <c r="M148" s="10" t="inlineStr"/>
      <c r="N148" s="10" t="inlineStr"/>
      <c r="O148" s="11">
        <f>HYPERLINK("https://www.emiratesislamic.ae/en/about-us/board-members-management-team","Kaynak")</f>
        <v/>
      </c>
    </row>
    <row r="149" ht="30" customHeight="1">
      <c r="A149" s="8" t="n">
        <v>147</v>
      </c>
      <c r="B149" s="14" t="inlineStr">
        <is>
          <t>Borsa Kurul/C-Suite</t>
        </is>
      </c>
      <c r="C149" s="10" t="inlineStr">
        <is>
          <t>Islamic Banking</t>
        </is>
      </c>
      <c r="D149" s="10" t="inlineStr">
        <is>
          <t>Farid AlMulla</t>
        </is>
      </c>
      <c r="E149" s="10" t="inlineStr">
        <is>
          <t>CEO</t>
        </is>
      </c>
      <c r="F149" s="10" t="inlineStr">
        <is>
          <t>Emirates Islamic</t>
        </is>
      </c>
      <c r="G149" s="10" t="inlineStr">
        <is>
          <t>BAE</t>
        </is>
      </c>
      <c r="H149" s="13" t="inlineStr">
        <is>
          <t>Yüksek (profesyonel)</t>
        </is>
      </c>
      <c r="I149" s="11">
        <f>HYPERLINK("https://www.linkedin.com/search/results/people/?keywords=Farid%20AlMulla%20Emirates%20Islamic","LinkedIn'de bul")</f>
        <v/>
      </c>
      <c r="J149" s="11">
        <f>HYPERLINK("https://www.emiratesislamic.ae","emiratesislamic.ae")</f>
        <v/>
      </c>
      <c r="K149" s="10" t="inlineStr"/>
      <c r="L149" s="10" t="inlineStr"/>
      <c r="M149" s="10" t="inlineStr"/>
      <c r="N149" s="10" t="inlineStr"/>
      <c r="O149" s="11">
        <f>HYPERLINK("https://www.emiratesislamic.ae/en/about-us/board-members-management-team","Kaynak")</f>
        <v/>
      </c>
    </row>
    <row r="150" ht="30" customHeight="1">
      <c r="A150" s="8" t="n">
        <v>148</v>
      </c>
      <c r="B150" s="14" t="inlineStr">
        <is>
          <t>Borsa Kurul/C-Suite</t>
        </is>
      </c>
      <c r="C150" s="10" t="inlineStr">
        <is>
          <t>Banking</t>
        </is>
      </c>
      <c r="D150" s="10" t="inlineStr">
        <is>
          <t>Ahmad Abdulkarim Julfar</t>
        </is>
      </c>
      <c r="E150" s="10" t="inlineStr">
        <is>
          <t>Chairman</t>
        </is>
      </c>
      <c r="F150" s="10" t="inlineStr">
        <is>
          <t>Commercial Bank of Dubai</t>
        </is>
      </c>
      <c r="G150" s="10" t="inlineStr">
        <is>
          <t>BAE</t>
        </is>
      </c>
      <c r="H150" s="10" t="inlineStr">
        <is>
          <t>Orta (başkan)</t>
        </is>
      </c>
      <c r="I150" s="11">
        <f>HYPERLINK("https://www.linkedin.com/search/results/people/?keywords=Ahmad%20Julfar%20Commercial%20Bank%20of%20Dubai","LinkedIn'de bul")</f>
        <v/>
      </c>
      <c r="J150" s="11">
        <f>HYPERLINK("https://www.cbd.ae","cbd.ae")</f>
        <v/>
      </c>
      <c r="K150" s="10" t="inlineStr"/>
      <c r="L150" s="10" t="inlineStr"/>
      <c r="M150" s="10" t="inlineStr"/>
      <c r="N150" s="10" t="inlineStr"/>
      <c r="O150" s="11">
        <f>HYPERLINK("https://www.cbd.ae/aboutus/corporate-governance/cbd-board-of-directors","Kaynak")</f>
        <v/>
      </c>
    </row>
    <row r="151" ht="30" customHeight="1">
      <c r="A151" s="8" t="n">
        <v>149</v>
      </c>
      <c r="B151" s="14" t="inlineStr">
        <is>
          <t>Borsa Kurul/C-Suite</t>
        </is>
      </c>
      <c r="C151" s="10" t="inlineStr">
        <is>
          <t>Banking</t>
        </is>
      </c>
      <c r="D151" s="10" t="inlineStr">
        <is>
          <t>Bernd van Linder</t>
        </is>
      </c>
      <c r="E151" s="10" t="inlineStr">
        <is>
          <t>CEO</t>
        </is>
      </c>
      <c r="F151" s="10" t="inlineStr">
        <is>
          <t>Commercial Bank of Dubai</t>
        </is>
      </c>
      <c r="G151" s="10" t="inlineStr">
        <is>
          <t>BAE</t>
        </is>
      </c>
      <c r="H151" s="13" t="inlineStr">
        <is>
          <t>Yüksek (profesyonel)</t>
        </is>
      </c>
      <c r="I151" s="11">
        <f>HYPERLINK("https://www.linkedin.com/search/results/people/?keywords=Bernd%20van%20Linder%20Commercial%20Bank%20of%20Dubai","LinkedIn'de bul")</f>
        <v/>
      </c>
      <c r="J151" s="11">
        <f>HYPERLINK("https://www.cbd.ae","cbd.ae")</f>
        <v/>
      </c>
      <c r="K151" s="10" t="inlineStr"/>
      <c r="L151" s="10" t="inlineStr"/>
      <c r="M151" s="10" t="inlineStr"/>
      <c r="N151" s="10" t="inlineStr"/>
      <c r="O151" s="11">
        <f>HYPERLINK("https://www.cbd.ae/aboutus/about-cbd/cbd-management-team","Kaynak")</f>
        <v/>
      </c>
    </row>
    <row r="152" ht="30" customHeight="1">
      <c r="A152" s="8" t="n">
        <v>150</v>
      </c>
      <c r="B152" s="14" t="inlineStr">
        <is>
          <t>Borsa Kurul/C-Suite</t>
        </is>
      </c>
      <c r="C152" s="10" t="inlineStr">
        <is>
          <t>Banking</t>
        </is>
      </c>
      <c r="D152" s="10" t="inlineStr">
        <is>
          <t>Darren Clarke</t>
        </is>
      </c>
      <c r="E152" s="10" t="inlineStr">
        <is>
          <t>CFO</t>
        </is>
      </c>
      <c r="F152" s="10" t="inlineStr">
        <is>
          <t>Commercial Bank of Dubai</t>
        </is>
      </c>
      <c r="G152" s="10" t="inlineStr">
        <is>
          <t>BAE</t>
        </is>
      </c>
      <c r="H152" s="13" t="inlineStr">
        <is>
          <t>Yüksek (profesyonel)</t>
        </is>
      </c>
      <c r="I152" s="11">
        <f>HYPERLINK("https://www.linkedin.com/search/results/people/?keywords=Darren%20Clarke%20Commercial%20Bank%20of%20Dubai","LinkedIn'de bul")</f>
        <v/>
      </c>
      <c r="J152" s="11">
        <f>HYPERLINK("https://www.cbd.ae","cbd.ae")</f>
        <v/>
      </c>
      <c r="K152" s="10" t="inlineStr"/>
      <c r="L152" s="10" t="inlineStr"/>
      <c r="M152" s="10" t="inlineStr"/>
      <c r="N152" s="10" t="inlineStr"/>
      <c r="O152" s="11">
        <f>HYPERLINK("https://www.cbd.ae/aboutus/about-cbd/corporate-governance/cbd-management-team/mr-darren-clarke","Kaynak")</f>
        <v/>
      </c>
    </row>
    <row r="153" ht="30" customHeight="1">
      <c r="A153" s="8" t="n">
        <v>151</v>
      </c>
      <c r="B153" s="14" t="inlineStr">
        <is>
          <t>Borsa Kurul/C-Suite</t>
        </is>
      </c>
      <c r="C153" s="10" t="inlineStr">
        <is>
          <t>Banking</t>
        </is>
      </c>
      <c r="D153" s="10" t="inlineStr">
        <is>
          <t>Sheikh Saleh bin Mohamed Al Sharqi</t>
        </is>
      </c>
      <c r="E153" s="10" t="inlineStr">
        <is>
          <t>Chairman</t>
        </is>
      </c>
      <c r="F153" s="10" t="inlineStr">
        <is>
          <t>National Bank of Fujairah</t>
        </is>
      </c>
      <c r="G153" s="10" t="inlineStr">
        <is>
          <t>BAE</t>
        </is>
      </c>
      <c r="H153" s="10" t="inlineStr">
        <is>
          <t>Düşük (royal/sahip)</t>
        </is>
      </c>
      <c r="I153" s="11">
        <f>HYPERLINK("https://www.linkedin.com/search/results/people/?keywords=Saleh%20Al%20Sharqi%20National%20Bank%20of%20Fujairah","LinkedIn'de bul")</f>
        <v/>
      </c>
      <c r="J153" s="11">
        <f>HYPERLINK("https://nbf.ae","nbf.ae")</f>
        <v/>
      </c>
      <c r="K153" s="10" t="inlineStr"/>
      <c r="L153" s="10" t="inlineStr"/>
      <c r="M153" s="10" t="inlineStr"/>
      <c r="N153" s="10" t="inlineStr"/>
      <c r="O153" s="11">
        <f>HYPERLINK("https://nbf.ae/en/about-us/investor-relations/corporate-governance/board-of-directors","Kaynak")</f>
        <v/>
      </c>
    </row>
    <row r="154" ht="30" customHeight="1">
      <c r="A154" s="8" t="n">
        <v>152</v>
      </c>
      <c r="B154" s="14" t="inlineStr">
        <is>
          <t>Borsa Kurul/C-Suite</t>
        </is>
      </c>
      <c r="C154" s="10" t="inlineStr">
        <is>
          <t>Banking</t>
        </is>
      </c>
      <c r="D154" s="10" t="inlineStr">
        <is>
          <t>Adnan Anwar</t>
        </is>
      </c>
      <c r="E154" s="10" t="inlineStr">
        <is>
          <t>CEO</t>
        </is>
      </c>
      <c r="F154" s="10" t="inlineStr">
        <is>
          <t>National Bank of Fujairah</t>
        </is>
      </c>
      <c r="G154" s="10" t="inlineStr">
        <is>
          <t>BAE</t>
        </is>
      </c>
      <c r="H154" s="13" t="inlineStr">
        <is>
          <t>Yüksek (profesyonel)</t>
        </is>
      </c>
      <c r="I154" s="11">
        <f>HYPERLINK("https://www.linkedin.com/search/results/people/?keywords=Adnan%20Anwar%20National%20Bank%20of%20Fujairah","LinkedIn'de bul")</f>
        <v/>
      </c>
      <c r="J154" s="11">
        <f>HYPERLINK("https://nbf.ae","nbf.ae")</f>
        <v/>
      </c>
      <c r="K154" s="10" t="inlineStr"/>
      <c r="L154" s="10" t="inlineStr"/>
      <c r="M154" s="10" t="inlineStr"/>
      <c r="N154" s="10" t="inlineStr"/>
      <c r="O154" s="11">
        <f>HYPERLINK("https://nbf.ae/en/about-us/investor-relations/corporate-governance/management-committees","Kaynak")</f>
        <v/>
      </c>
    </row>
    <row r="155" ht="30" customHeight="1">
      <c r="A155" s="8" t="n">
        <v>153</v>
      </c>
      <c r="B155" s="14" t="inlineStr">
        <is>
          <t>Borsa Kurul/C-Suite</t>
        </is>
      </c>
      <c r="C155" s="10" t="inlineStr">
        <is>
          <t>Banking</t>
        </is>
      </c>
      <c r="D155" s="10" t="inlineStr">
        <is>
          <t>Brian Mulholland</t>
        </is>
      </c>
      <c r="E155" s="10" t="inlineStr">
        <is>
          <t>CFO</t>
        </is>
      </c>
      <c r="F155" s="10" t="inlineStr">
        <is>
          <t>National Bank of Fujairah</t>
        </is>
      </c>
      <c r="G155" s="10" t="inlineStr">
        <is>
          <t>BAE</t>
        </is>
      </c>
      <c r="H155" s="13" t="inlineStr">
        <is>
          <t>Yüksek (profesyonel)</t>
        </is>
      </c>
      <c r="I155" s="11">
        <f>HYPERLINK("https://www.linkedin.com/search/results/people/?keywords=Brian%20Mulholland%20National%20Bank%20of%20Fujairah","LinkedIn'de bul")</f>
        <v/>
      </c>
      <c r="J155" s="11">
        <f>HYPERLINK("https://nbf.ae","nbf.ae")</f>
        <v/>
      </c>
      <c r="K155" s="10" t="inlineStr"/>
      <c r="L155" s="10" t="inlineStr"/>
      <c r="M155" s="10" t="inlineStr"/>
      <c r="N155" s="10" t="inlineStr"/>
      <c r="O155" s="11">
        <f>HYPERLINK("https://nbf.ae/en/about-us/investor-relations/corporate-governance/management-committees","Kaynak")</f>
        <v/>
      </c>
    </row>
    <row r="156" ht="30" customHeight="1">
      <c r="A156" s="8" t="n">
        <v>154</v>
      </c>
      <c r="B156" s="14" t="inlineStr">
        <is>
          <t>Borsa Kurul/C-Suite</t>
        </is>
      </c>
      <c r="C156" s="10" t="inlineStr">
        <is>
          <t>Islamic Banking</t>
        </is>
      </c>
      <c r="D156" s="10" t="inlineStr">
        <is>
          <t>Abdulrahman Mohamed Salem Alowais</t>
        </is>
      </c>
      <c r="E156" s="10" t="inlineStr">
        <is>
          <t>Chairman</t>
        </is>
      </c>
      <c r="F156" s="10" t="inlineStr">
        <is>
          <t>Sharjah Islamic Bank</t>
        </is>
      </c>
      <c r="G156" s="10" t="inlineStr">
        <is>
          <t>BAE</t>
        </is>
      </c>
      <c r="H156" s="10" t="inlineStr">
        <is>
          <t>Orta (başkan)</t>
        </is>
      </c>
      <c r="I156" s="11">
        <f>HYPERLINK("https://www.linkedin.com/search/results/people/?keywords=Abdulrahman%20Alowais%20Sharjah%20Islamic%20Bank","LinkedIn'de bul")</f>
        <v/>
      </c>
      <c r="J156" s="11">
        <f>HYPERLINK("https://www.sib.ae","sib.ae")</f>
        <v/>
      </c>
      <c r="K156" s="10" t="inlineStr"/>
      <c r="L156" s="10" t="inlineStr"/>
      <c r="M156" s="10" t="inlineStr"/>
      <c r="N156" s="10" t="inlineStr"/>
      <c r="O156" s="11">
        <f>HYPERLINK("https://www.sib.ae/en/about-us/corporate-governance","Kaynak")</f>
        <v/>
      </c>
    </row>
    <row r="157" ht="30" customHeight="1">
      <c r="A157" s="8" t="n">
        <v>155</v>
      </c>
      <c r="B157" s="14" t="inlineStr">
        <is>
          <t>Borsa Kurul/C-Suite</t>
        </is>
      </c>
      <c r="C157" s="10" t="inlineStr">
        <is>
          <t>Islamic Banking</t>
        </is>
      </c>
      <c r="D157" s="10" t="inlineStr">
        <is>
          <t>Mohamed Ahmed Abdalla</t>
        </is>
      </c>
      <c r="E157" s="10" t="inlineStr">
        <is>
          <t>CEO</t>
        </is>
      </c>
      <c r="F157" s="10" t="inlineStr">
        <is>
          <t>Sharjah Islamic Bank</t>
        </is>
      </c>
      <c r="G157" s="10" t="inlineStr">
        <is>
          <t>BAE</t>
        </is>
      </c>
      <c r="H157" s="13" t="inlineStr">
        <is>
          <t>Yüksek (profesyonel)</t>
        </is>
      </c>
      <c r="I157" s="11">
        <f>HYPERLINK("https://www.linkedin.com/search/results/people/?keywords=Mohamed%20Ahmed%20Abdalla%20Sharjah%20Islamic%20Bank","LinkedIn'de bul")</f>
        <v/>
      </c>
      <c r="J157" s="11">
        <f>HYPERLINK("https://www.sib.ae","sib.ae")</f>
        <v/>
      </c>
      <c r="K157" s="10" t="inlineStr"/>
      <c r="L157" s="10" t="inlineStr"/>
      <c r="M157" s="10" t="inlineStr"/>
      <c r="N157" s="10" t="inlineStr"/>
      <c r="O157" s="11">
        <f>HYPERLINK("https://www.sib.ae/en/about-us/corporate-governance","Kaynak")</f>
        <v/>
      </c>
    </row>
    <row r="158" ht="30" customHeight="1">
      <c r="A158" s="8" t="n">
        <v>156</v>
      </c>
      <c r="B158" s="14" t="inlineStr">
        <is>
          <t>Borsa Kurul/C-Suite</t>
        </is>
      </c>
      <c r="C158" s="10" t="inlineStr">
        <is>
          <t>Islamic Banking</t>
        </is>
      </c>
      <c r="D158" s="10" t="inlineStr">
        <is>
          <t>Ghaith Al Midfa</t>
        </is>
      </c>
      <c r="E158" s="10" t="inlineStr">
        <is>
          <t>Group CFO</t>
        </is>
      </c>
      <c r="F158" s="10" t="inlineStr">
        <is>
          <t>Sharjah Islamic Bank</t>
        </is>
      </c>
      <c r="G158" s="10" t="inlineStr">
        <is>
          <t>BAE</t>
        </is>
      </c>
      <c r="H158" s="13" t="inlineStr">
        <is>
          <t>Yüksek (profesyonel)</t>
        </is>
      </c>
      <c r="I158" s="11">
        <f>HYPERLINK("https://www.linkedin.com/search/results/people/?keywords=Ghaith%20Al%20Midfa%20Sharjah%20Islamic%20Bank","LinkedIn'de bul")</f>
        <v/>
      </c>
      <c r="J158" s="11">
        <f>HYPERLINK("https://www.sib.ae","sib.ae")</f>
        <v/>
      </c>
      <c r="K158" s="10" t="inlineStr"/>
      <c r="L158" s="10" t="inlineStr"/>
      <c r="M158" s="10" t="inlineStr"/>
      <c r="N158" s="10" t="inlineStr"/>
      <c r="O158" s="11">
        <f>HYPERLINK("https://www.sib.ae/en/about-us/corporate-governance","Kaynak")</f>
        <v/>
      </c>
    </row>
    <row r="159" ht="30" customHeight="1">
      <c r="A159" s="8" t="n">
        <v>157</v>
      </c>
      <c r="B159" s="14" t="inlineStr">
        <is>
          <t>Borsa Kurul/C-Suite</t>
        </is>
      </c>
      <c r="C159" s="10" t="inlineStr">
        <is>
          <t>Telecom</t>
        </is>
      </c>
      <c r="D159" s="10" t="inlineStr">
        <is>
          <t>Jassem Mohamed Bu Ataba Alzaabi</t>
        </is>
      </c>
      <c r="E159" s="10" t="inlineStr">
        <is>
          <t>Chairman</t>
        </is>
      </c>
      <c r="F159" s="10" t="inlineStr">
        <is>
          <t>e&amp; (Etisalat Group)</t>
        </is>
      </c>
      <c r="G159" s="10" t="inlineStr">
        <is>
          <t>BAE</t>
        </is>
      </c>
      <c r="H159" s="10" t="inlineStr">
        <is>
          <t>Orta (başkan)</t>
        </is>
      </c>
      <c r="I159" s="11">
        <f>HYPERLINK("https://www.linkedin.com/search/results/people/?keywords=Jassem%20Alzaabi%20e%26","LinkedIn'de bul")</f>
        <v/>
      </c>
      <c r="J159" s="11">
        <f>HYPERLINK("https://www.eand.com","eand.com")</f>
        <v/>
      </c>
      <c r="K159" s="10" t="inlineStr"/>
      <c r="L159" s="10" t="inlineStr"/>
      <c r="M159" s="10" t="inlineStr"/>
      <c r="N159" s="10" t="inlineStr"/>
      <c r="O159" s="11">
        <f>HYPERLINK("https://www.eand.com/en/whoweare/governance/board-of-directors.html","Kaynak")</f>
        <v/>
      </c>
    </row>
    <row r="160" ht="30" customHeight="1">
      <c r="A160" s="8" t="n">
        <v>158</v>
      </c>
      <c r="B160" s="14" t="inlineStr">
        <is>
          <t>Borsa Kurul/C-Suite</t>
        </is>
      </c>
      <c r="C160" s="10" t="inlineStr">
        <is>
          <t>Telecom</t>
        </is>
      </c>
      <c r="D160" s="10" t="inlineStr">
        <is>
          <t>Masood M. Sharif Mahmood</t>
        </is>
      </c>
      <c r="E160" s="10" t="inlineStr">
        <is>
          <t>Group CEO</t>
        </is>
      </c>
      <c r="F160" s="10" t="inlineStr">
        <is>
          <t>e&amp; (Etisalat Group)</t>
        </is>
      </c>
      <c r="G160" s="10" t="inlineStr">
        <is>
          <t>BAE</t>
        </is>
      </c>
      <c r="H160" s="13" t="inlineStr">
        <is>
          <t>Yüksek (profesyonel)</t>
        </is>
      </c>
      <c r="I160" s="11">
        <f>HYPERLINK("https://www.linkedin.com/search/results/people/?keywords=Masood%20Sharif%20Mahmood%20e%26","LinkedIn'de bul")</f>
        <v/>
      </c>
      <c r="J160" s="11">
        <f>HYPERLINK("https://www.eand.com","eand.com")</f>
        <v/>
      </c>
      <c r="K160" s="10" t="inlineStr"/>
      <c r="L160" s="10" t="inlineStr"/>
      <c r="M160" s="10" t="inlineStr"/>
      <c r="N160" s="10" t="inlineStr"/>
      <c r="O160" s="11">
        <f>HYPERLINK("https://www.eand.com/en/whoweare/senior-management.html","Kaynak")</f>
        <v/>
      </c>
    </row>
    <row r="161" ht="30" customHeight="1">
      <c r="A161" s="8" t="n">
        <v>159</v>
      </c>
      <c r="B161" s="14" t="inlineStr">
        <is>
          <t>Borsa Kurul/C-Suite</t>
        </is>
      </c>
      <c r="C161" s="10" t="inlineStr">
        <is>
          <t>Telecom</t>
        </is>
      </c>
      <c r="D161" s="10" t="inlineStr">
        <is>
          <t>Malek Sultan Al Malek</t>
        </is>
      </c>
      <c r="E161" s="10" t="inlineStr">
        <is>
          <t>Chairman</t>
        </is>
      </c>
      <c r="F161" s="10" t="inlineStr">
        <is>
          <t>du (EITC)</t>
        </is>
      </c>
      <c r="G161" s="10" t="inlineStr">
        <is>
          <t>BAE</t>
        </is>
      </c>
      <c r="H161" s="10" t="inlineStr">
        <is>
          <t>Orta (başkan)</t>
        </is>
      </c>
      <c r="I161" s="11">
        <f>HYPERLINK("https://www.linkedin.com/search/results/people/?keywords=Malek%20Al%20Malek%20du%20EITC","LinkedIn'de bul")</f>
        <v/>
      </c>
      <c r="J161" s="11">
        <f>HYPERLINK("https://www.du.ae","du.ae")</f>
        <v/>
      </c>
      <c r="K161" s="10" t="inlineStr"/>
      <c r="L161" s="10" t="inlineStr"/>
      <c r="M161" s="10" t="inlineStr"/>
      <c r="N161" s="10" t="inlineStr"/>
      <c r="O161" s="11">
        <f>HYPERLINK("https://www.du.ae/about-us/investor-relations/board-of-directors","Kaynak")</f>
        <v/>
      </c>
    </row>
    <row r="162" ht="30" customHeight="1">
      <c r="A162" s="8" t="n">
        <v>160</v>
      </c>
      <c r="B162" s="14" t="inlineStr">
        <is>
          <t>Borsa Kurul/C-Suite</t>
        </is>
      </c>
      <c r="C162" s="10" t="inlineStr">
        <is>
          <t>Telecom</t>
        </is>
      </c>
      <c r="D162" s="10" t="inlineStr">
        <is>
          <t>Kais Ben Hamida</t>
        </is>
      </c>
      <c r="E162" s="10" t="inlineStr">
        <is>
          <t>CFO</t>
        </is>
      </c>
      <c r="F162" s="10" t="inlineStr">
        <is>
          <t>du (EITC)</t>
        </is>
      </c>
      <c r="G162" s="10" t="inlineStr">
        <is>
          <t>BAE</t>
        </is>
      </c>
      <c r="H162" s="13" t="inlineStr">
        <is>
          <t>Yüksek (profesyonel)</t>
        </is>
      </c>
      <c r="I162" s="11">
        <f>HYPERLINK("https://www.linkedin.com/search/results/people/?keywords=Kais%20Ben%20Hamida%20du%20EITC","LinkedIn'de bul")</f>
        <v/>
      </c>
      <c r="J162" s="11">
        <f>HYPERLINK("https://www.du.ae","du.ae")</f>
        <v/>
      </c>
      <c r="K162" s="10" t="inlineStr"/>
      <c r="L162" s="10" t="inlineStr"/>
      <c r="M162" s="10" t="inlineStr"/>
      <c r="N162" s="10" t="inlineStr"/>
      <c r="O162" s="11">
        <f>HYPERLINK("https://www.du.ae/management-team","Kaynak")</f>
        <v/>
      </c>
    </row>
    <row r="163" ht="30" customHeight="1">
      <c r="A163" s="8" t="n">
        <v>161</v>
      </c>
      <c r="B163" s="14" t="inlineStr">
        <is>
          <t>Borsa Kurul/C-Suite</t>
        </is>
      </c>
      <c r="C163" s="10" t="inlineStr">
        <is>
          <t>Energy</t>
        </is>
      </c>
      <c r="D163" s="10" t="inlineStr">
        <is>
          <t>Wayne Beifus</t>
        </is>
      </c>
      <c r="E163" s="10" t="inlineStr">
        <is>
          <t>CFO</t>
        </is>
      </c>
      <c r="F163" s="10" t="inlineStr">
        <is>
          <t>ADNOC Distribution</t>
        </is>
      </c>
      <c r="G163" s="10" t="inlineStr">
        <is>
          <t>BAE</t>
        </is>
      </c>
      <c r="H163" s="13" t="inlineStr">
        <is>
          <t>Yüksek (profesyonel)</t>
        </is>
      </c>
      <c r="I163" s="11">
        <f>HYPERLINK("https://www.linkedin.com/search/results/people/?keywords=Wayne%20Beifus%20ADNOC%20Distribution","LinkedIn'de bul")</f>
        <v/>
      </c>
      <c r="J163" s="11">
        <f>HYPERLINK("https://www.adnocdistribution.ae","adnocdistribution.ae")</f>
        <v/>
      </c>
      <c r="K163" s="10" t="inlineStr"/>
      <c r="L163" s="10" t="inlineStr"/>
      <c r="M163" s="10" t="inlineStr"/>
      <c r="N163" s="10" t="inlineStr"/>
      <c r="O163" s="11">
        <f>HYPERLINK("https://www.adnocdistribution.ae/en/investor-relations/leadership","Kaynak")</f>
        <v/>
      </c>
    </row>
    <row r="164" ht="30" customHeight="1">
      <c r="A164" s="8" t="n">
        <v>162</v>
      </c>
      <c r="B164" s="14" t="inlineStr">
        <is>
          <t>Borsa Kurul/C-Suite</t>
        </is>
      </c>
      <c r="C164" s="10" t="inlineStr">
        <is>
          <t>Energy</t>
        </is>
      </c>
      <c r="D164" s="10" t="inlineStr">
        <is>
          <t>Fatema Mohamed Al Nuaimi</t>
        </is>
      </c>
      <c r="E164" s="10" t="inlineStr">
        <is>
          <t>CEO</t>
        </is>
      </c>
      <c r="F164" s="10" t="inlineStr">
        <is>
          <t>ADNOC Gas</t>
        </is>
      </c>
      <c r="G164" s="10" t="inlineStr">
        <is>
          <t>BAE</t>
        </is>
      </c>
      <c r="H164" s="13" t="inlineStr">
        <is>
          <t>Yüksek (profesyonel)</t>
        </is>
      </c>
      <c r="I164" s="11">
        <f>HYPERLINK("https://www.linkedin.com/search/results/people/?keywords=Fatema%20Al%20Nuaimi%20ADNOC%20Gas","LinkedIn'de bul")</f>
        <v/>
      </c>
      <c r="J164" s="11">
        <f>HYPERLINK("https://www.adnocgas.ae","adnocgas.ae")</f>
        <v/>
      </c>
      <c r="K164" s="10" t="inlineStr"/>
      <c r="L164" s="10" t="inlineStr"/>
      <c r="M164" s="10" t="inlineStr"/>
      <c r="N164" s="10" t="inlineStr"/>
      <c r="O164" s="11">
        <f>HYPERLINK("https://www.adnocgas.ae/en/our-company/executive-management","Kaynak")</f>
        <v/>
      </c>
    </row>
    <row r="165" ht="30" customHeight="1">
      <c r="A165" s="8" t="n">
        <v>163</v>
      </c>
      <c r="B165" s="14" t="inlineStr">
        <is>
          <t>Borsa Kurul/C-Suite</t>
        </is>
      </c>
      <c r="C165" s="10" t="inlineStr">
        <is>
          <t>Energy</t>
        </is>
      </c>
      <c r="D165" s="10" t="inlineStr">
        <is>
          <t>Peter van Driel</t>
        </is>
      </c>
      <c r="E165" s="10" t="inlineStr">
        <is>
          <t>CFO</t>
        </is>
      </c>
      <c r="F165" s="10" t="inlineStr">
        <is>
          <t>ADNOC Gas</t>
        </is>
      </c>
      <c r="G165" s="10" t="inlineStr">
        <is>
          <t>BAE</t>
        </is>
      </c>
      <c r="H165" s="13" t="inlineStr">
        <is>
          <t>Yüksek (profesyonel)</t>
        </is>
      </c>
      <c r="I165" s="11">
        <f>HYPERLINK("https://www.linkedin.com/search/results/people/?keywords=Peter%20van%20Driel%20ADNOC%20Gas","LinkedIn'de bul")</f>
        <v/>
      </c>
      <c r="J165" s="11">
        <f>HYPERLINK("https://www.adnocgas.ae","adnocgas.ae")</f>
        <v/>
      </c>
      <c r="K165" s="10" t="inlineStr"/>
      <c r="L165" s="10" t="inlineStr"/>
      <c r="M165" s="10" t="inlineStr"/>
      <c r="N165" s="10" t="inlineStr"/>
      <c r="O165" s="11">
        <f>HYPERLINK("https://www.adnocgas.ae/en/our-company/executive-management","Kaynak")</f>
        <v/>
      </c>
    </row>
    <row r="166" ht="30" customHeight="1">
      <c r="A166" s="8" t="n">
        <v>164</v>
      </c>
      <c r="B166" s="14" t="inlineStr">
        <is>
          <t>Borsa Kurul/C-Suite</t>
        </is>
      </c>
      <c r="C166" s="10" t="inlineStr">
        <is>
          <t>Petrochemicals</t>
        </is>
      </c>
      <c r="D166" s="10" t="inlineStr">
        <is>
          <t>Hazeem Sultan Al Suwaidi</t>
        </is>
      </c>
      <c r="E166" s="10" t="inlineStr">
        <is>
          <t>CEO</t>
        </is>
      </c>
      <c r="F166" s="10" t="inlineStr">
        <is>
          <t>Borouge</t>
        </is>
      </c>
      <c r="G166" s="10" t="inlineStr">
        <is>
          <t>BAE</t>
        </is>
      </c>
      <c r="H166" s="13" t="inlineStr">
        <is>
          <t>Yüksek (profesyonel)</t>
        </is>
      </c>
      <c r="I166" s="11">
        <f>HYPERLINK("https://www.linkedin.com/search/results/people/?keywords=Hazeem%20Al%20Suwaidi%20Borouge","LinkedIn'de bul")</f>
        <v/>
      </c>
      <c r="J166" s="11">
        <f>HYPERLINK("https://www.borouge.com","borouge.com")</f>
        <v/>
      </c>
      <c r="K166" s="10" t="inlineStr"/>
      <c r="L166" s="10" t="inlineStr"/>
      <c r="M166" s="10" t="inlineStr"/>
      <c r="N166" s="10" t="inlineStr"/>
      <c r="O166" s="11">
        <f>HYPERLINK("https://www.borouge.com","Kaynak")</f>
        <v/>
      </c>
    </row>
    <row r="167" ht="30" customHeight="1">
      <c r="A167" s="8" t="n">
        <v>165</v>
      </c>
      <c r="B167" s="14" t="inlineStr">
        <is>
          <t>Borsa Kurul/C-Suite</t>
        </is>
      </c>
      <c r="C167" s="10" t="inlineStr">
        <is>
          <t>Petrochemicals</t>
        </is>
      </c>
      <c r="D167" s="10" t="inlineStr">
        <is>
          <t>Jan-Martin Nufer</t>
        </is>
      </c>
      <c r="E167" s="10" t="inlineStr">
        <is>
          <t>CFO</t>
        </is>
      </c>
      <c r="F167" s="10" t="inlineStr">
        <is>
          <t>Borouge</t>
        </is>
      </c>
      <c r="G167" s="10" t="inlineStr">
        <is>
          <t>BAE</t>
        </is>
      </c>
      <c r="H167" s="13" t="inlineStr">
        <is>
          <t>Yüksek (profesyonel)</t>
        </is>
      </c>
      <c r="I167" s="11">
        <f>HYPERLINK("https://www.linkedin.com/search/results/people/?keywords=Jan-Martin%20Nufer%20Borouge","LinkedIn'de bul")</f>
        <v/>
      </c>
      <c r="J167" s="11">
        <f>HYPERLINK("https://www.borouge.com","borouge.com")</f>
        <v/>
      </c>
      <c r="K167" s="10" t="inlineStr"/>
      <c r="L167" s="10" t="inlineStr"/>
      <c r="M167" s="10" t="inlineStr"/>
      <c r="N167" s="10" t="inlineStr"/>
      <c r="O167" s="11">
        <f>HYPERLINK("https://www.borouge.com","Kaynak")</f>
        <v/>
      </c>
    </row>
    <row r="168" ht="30" customHeight="1">
      <c r="A168" s="8" t="n">
        <v>166</v>
      </c>
      <c r="B168" s="14" t="inlineStr">
        <is>
          <t>Borsa Kurul/C-Suite</t>
        </is>
      </c>
      <c r="C168" s="10" t="inlineStr">
        <is>
          <t>Energy / Utilities</t>
        </is>
      </c>
      <c r="D168" s="10" t="inlineStr">
        <is>
          <t>Jasim Husain Thabet</t>
        </is>
      </c>
      <c r="E168" s="10" t="inlineStr">
        <is>
          <t>Group CEO &amp; MD</t>
        </is>
      </c>
      <c r="F168" s="10" t="inlineStr">
        <is>
          <t>TAQA</t>
        </is>
      </c>
      <c r="G168" s="10" t="inlineStr">
        <is>
          <t>BAE</t>
        </is>
      </c>
      <c r="H168" s="13" t="inlineStr">
        <is>
          <t>Yüksek (profesyonel)</t>
        </is>
      </c>
      <c r="I168" s="11">
        <f>HYPERLINK("https://www.linkedin.com/search/results/people/?keywords=Jasim%20Husain%20Thabet%20TAQA","LinkedIn'de bul")</f>
        <v/>
      </c>
      <c r="J168" s="11">
        <f>HYPERLINK("https://www.taqa.com","taqa.com")</f>
        <v/>
      </c>
      <c r="K168" s="10" t="inlineStr"/>
      <c r="L168" s="10" t="inlineStr"/>
      <c r="M168" s="10" t="inlineStr"/>
      <c r="N168" s="10" t="inlineStr"/>
      <c r="O168" s="11">
        <f>HYPERLINK("https://www.tq.com/about-taqa/leadership/executive-management/","Kaynak")</f>
        <v/>
      </c>
    </row>
    <row r="169" ht="30" customHeight="1">
      <c r="A169" s="8" t="n">
        <v>167</v>
      </c>
      <c r="B169" s="14" t="inlineStr">
        <is>
          <t>Borsa Kurul/C-Suite</t>
        </is>
      </c>
      <c r="C169" s="10" t="inlineStr">
        <is>
          <t>Energy / Utilities</t>
        </is>
      </c>
      <c r="D169" s="10" t="inlineStr">
        <is>
          <t>Adrian Kershaw</t>
        </is>
      </c>
      <c r="E169" s="10" t="inlineStr">
        <is>
          <t>CFO</t>
        </is>
      </c>
      <c r="F169" s="10" t="inlineStr">
        <is>
          <t>TAQA</t>
        </is>
      </c>
      <c r="G169" s="10" t="inlineStr">
        <is>
          <t>BAE</t>
        </is>
      </c>
      <c r="H169" s="13" t="inlineStr">
        <is>
          <t>Yüksek (profesyonel)</t>
        </is>
      </c>
      <c r="I169" s="11">
        <f>HYPERLINK("https://www.linkedin.com/search/results/people/?keywords=Adrian%20Kershaw%20TAQA","LinkedIn'de bul")</f>
        <v/>
      </c>
      <c r="J169" s="11">
        <f>HYPERLINK("https://www.taqa.com","taqa.com")</f>
        <v/>
      </c>
      <c r="K169" s="10" t="inlineStr"/>
      <c r="L169" s="10" t="inlineStr"/>
      <c r="M169" s="10" t="inlineStr"/>
      <c r="N169" s="10" t="inlineStr"/>
      <c r="O169" s="11">
        <f>HYPERLINK("https://www.zawya.com/en/press-release/people-in-the-news/taqa-appoints-new-chief-financial-officer-b6f7rusz","Kaynak")</f>
        <v/>
      </c>
    </row>
    <row r="170" ht="30" customHeight="1">
      <c r="A170" s="8" t="n">
        <v>168</v>
      </c>
      <c r="B170" s="14" t="inlineStr">
        <is>
          <t>Borsa Kurul/C-Suite</t>
        </is>
      </c>
      <c r="C170" s="10" t="inlineStr">
        <is>
          <t>Utilities</t>
        </is>
      </c>
      <c r="D170" s="10" t="inlineStr">
        <is>
          <t>Saeed Mohammed Al Tayer</t>
        </is>
      </c>
      <c r="E170" s="10" t="inlineStr">
        <is>
          <t>MD &amp; CEO</t>
        </is>
      </c>
      <c r="F170" s="10" t="inlineStr">
        <is>
          <t>DEWA</t>
        </is>
      </c>
      <c r="G170" s="10" t="inlineStr">
        <is>
          <t>BAE</t>
        </is>
      </c>
      <c r="H170" s="13" t="inlineStr">
        <is>
          <t>Yüksek (profesyonel)</t>
        </is>
      </c>
      <c r="I170" s="11">
        <f>HYPERLINK("https://www.linkedin.com/search/results/people/?keywords=Saeed%20Al%20Tayer%20DEWA","LinkedIn'de bul")</f>
        <v/>
      </c>
      <c r="J170" s="11">
        <f>HYPERLINK("https://www.dewa.gov.ae","dewa.gov.ae")</f>
        <v/>
      </c>
      <c r="K170" s="10" t="inlineStr"/>
      <c r="L170" s="10" t="inlineStr"/>
      <c r="M170" s="10" t="inlineStr"/>
      <c r="N170" s="10" t="inlineStr"/>
      <c r="O170" s="11">
        <f>HYPERLINK("https://www.dewa.gov.ae/en/about-us/strategy-excellence/board-of-directors","Kaynak")</f>
        <v/>
      </c>
    </row>
    <row r="171" ht="30" customHeight="1">
      <c r="A171" s="8" t="n">
        <v>169</v>
      </c>
      <c r="B171" s="14" t="inlineStr">
        <is>
          <t>Borsa Kurul/C-Suite</t>
        </is>
      </c>
      <c r="C171" s="10" t="inlineStr">
        <is>
          <t>Transport</t>
        </is>
      </c>
      <c r="D171" s="10" t="inlineStr">
        <is>
          <t>Ibrahim Sultan Al Haddad</t>
        </is>
      </c>
      <c r="E171" s="10" t="inlineStr">
        <is>
          <t>CEO</t>
        </is>
      </c>
      <c r="F171" s="10" t="inlineStr">
        <is>
          <t>Salik Company</t>
        </is>
      </c>
      <c r="G171" s="10" t="inlineStr">
        <is>
          <t>BAE</t>
        </is>
      </c>
      <c r="H171" s="13" t="inlineStr">
        <is>
          <t>Yüksek (profesyonel)</t>
        </is>
      </c>
      <c r="I171" s="11">
        <f>HYPERLINK("https://www.linkedin.com/search/results/people/?keywords=Ibrahim%20Al%20Haddad%20Salik","LinkedIn'de bul")</f>
        <v/>
      </c>
      <c r="J171" s="11">
        <f>HYPERLINK("https://www.salik.ae","salik.ae")</f>
        <v/>
      </c>
      <c r="K171" s="10" t="inlineStr"/>
      <c r="L171" s="10" t="inlineStr"/>
      <c r="M171" s="10" t="inlineStr"/>
      <c r="N171" s="10" t="inlineStr"/>
      <c r="O171" s="11">
        <f>HYPERLINK("https://www.salik.ae/en/Investors/Overview","Kaynak")</f>
        <v/>
      </c>
    </row>
    <row r="172" ht="30" customHeight="1">
      <c r="A172" s="8" t="n">
        <v>170</v>
      </c>
      <c r="B172" s="14" t="inlineStr">
        <is>
          <t>Borsa Kurul/C-Suite</t>
        </is>
      </c>
      <c r="C172" s="10" t="inlineStr">
        <is>
          <t>Transport</t>
        </is>
      </c>
      <c r="D172" s="10" t="inlineStr">
        <is>
          <t>Maged Ibrahim</t>
        </is>
      </c>
      <c r="E172" s="10" t="inlineStr">
        <is>
          <t>CFO</t>
        </is>
      </c>
      <c r="F172" s="10" t="inlineStr">
        <is>
          <t>Salik Company</t>
        </is>
      </c>
      <c r="G172" s="10" t="inlineStr">
        <is>
          <t>BAE</t>
        </is>
      </c>
      <c r="H172" s="13" t="inlineStr">
        <is>
          <t>Yüksek (profesyonel)</t>
        </is>
      </c>
      <c r="I172" s="11">
        <f>HYPERLINK("https://www.linkedin.com/search/results/people/?keywords=Maged%20Ibrahim%20Salik","LinkedIn'de bul")</f>
        <v/>
      </c>
      <c r="J172" s="11">
        <f>HYPERLINK("https://www.salik.ae","salik.ae")</f>
        <v/>
      </c>
      <c r="K172" s="10" t="inlineStr"/>
      <c r="L172" s="10" t="inlineStr"/>
      <c r="M172" s="10" t="inlineStr"/>
      <c r="N172" s="10" t="inlineStr"/>
      <c r="O172" s="11">
        <f>HYPERLINK("https://ar2025.salik.ae/en/strategic-review/cfo-review","Kaynak")</f>
        <v/>
      </c>
    </row>
    <row r="173" ht="30" customHeight="1">
      <c r="A173" s="8" t="n">
        <v>171</v>
      </c>
      <c r="B173" s="14" t="inlineStr">
        <is>
          <t>Borsa Kurul/C-Suite</t>
        </is>
      </c>
      <c r="C173" s="10" t="inlineStr">
        <is>
          <t>Fertilizers</t>
        </is>
      </c>
      <c r="D173" s="10" t="inlineStr">
        <is>
          <t>Ahmed El-Hoshy</t>
        </is>
      </c>
      <c r="E173" s="10" t="inlineStr">
        <is>
          <t>CEO</t>
        </is>
      </c>
      <c r="F173" s="10" t="inlineStr">
        <is>
          <t>Fertiglobe</t>
        </is>
      </c>
      <c r="G173" s="10" t="inlineStr">
        <is>
          <t>BAE</t>
        </is>
      </c>
      <c r="H173" s="13" t="inlineStr">
        <is>
          <t>Yüksek (profesyonel)</t>
        </is>
      </c>
      <c r="I173" s="11">
        <f>HYPERLINK("https://www.linkedin.com/search/results/people/?keywords=Ahmed%20El-Hoshy%20Fertiglobe","LinkedIn'de bul")</f>
        <v/>
      </c>
      <c r="J173" s="11">
        <f>HYPERLINK("https://www.fertiglobe.com","fertiglobe.com")</f>
        <v/>
      </c>
      <c r="K173" s="10" t="inlineStr"/>
      <c r="L173" s="10" t="inlineStr"/>
      <c r="M173" s="10" t="inlineStr"/>
      <c r="N173" s="10" t="inlineStr"/>
      <c r="O173" s="11">
        <f>HYPERLINK("https://craft.co/fertiglobe/executives","Kaynak")</f>
        <v/>
      </c>
    </row>
    <row r="174" ht="30" customHeight="1">
      <c r="A174" s="8" t="n">
        <v>172</v>
      </c>
      <c r="B174" s="14" t="inlineStr">
        <is>
          <t>Borsa Kurul/C-Suite</t>
        </is>
      </c>
      <c r="C174" s="10" t="inlineStr">
        <is>
          <t>Fertilizers</t>
        </is>
      </c>
      <c r="D174" s="10" t="inlineStr">
        <is>
          <t>Andrew Tait</t>
        </is>
      </c>
      <c r="E174" s="10" t="inlineStr">
        <is>
          <t>CFO</t>
        </is>
      </c>
      <c r="F174" s="10" t="inlineStr">
        <is>
          <t>Fertiglobe</t>
        </is>
      </c>
      <c r="G174" s="10" t="inlineStr">
        <is>
          <t>BAE</t>
        </is>
      </c>
      <c r="H174" s="13" t="inlineStr">
        <is>
          <t>Yüksek (profesyonel)</t>
        </is>
      </c>
      <c r="I174" s="11">
        <f>HYPERLINK("https://www.linkedin.com/search/results/people/?keywords=Andrew%20Tait%20Fertiglobe","LinkedIn'de bul")</f>
        <v/>
      </c>
      <c r="J174" s="11">
        <f>HYPERLINK("https://www.fertiglobe.com","fertiglobe.com")</f>
        <v/>
      </c>
      <c r="K174" s="10" t="inlineStr"/>
      <c r="L174" s="10" t="inlineStr"/>
      <c r="M174" s="10" t="inlineStr"/>
      <c r="N174" s="10" t="inlineStr"/>
      <c r="O174" s="11">
        <f>HYPERLINK("https://craft.co/fertiglobe/executives","Kaynak")</f>
        <v/>
      </c>
    </row>
    <row r="175" ht="30" customHeight="1">
      <c r="A175" s="8" t="n">
        <v>173</v>
      </c>
      <c r="B175" s="14" t="inlineStr">
        <is>
          <t>Borsa Kurul/C-Suite</t>
        </is>
      </c>
      <c r="C175" s="10" t="inlineStr">
        <is>
          <t>Holding</t>
        </is>
      </c>
      <c r="D175" s="10" t="inlineStr">
        <is>
          <t>Syed Basar Shueb</t>
        </is>
      </c>
      <c r="E175" s="10" t="inlineStr">
        <is>
          <t>CEO &amp; MD</t>
        </is>
      </c>
      <c r="F175" s="10" t="inlineStr">
        <is>
          <t>International Holding Company (IHC)</t>
        </is>
      </c>
      <c r="G175" s="10" t="inlineStr">
        <is>
          <t>BAE</t>
        </is>
      </c>
      <c r="H175" s="13" t="inlineStr">
        <is>
          <t>Yüksek (profesyonel)</t>
        </is>
      </c>
      <c r="I175" s="11">
        <f>HYPERLINK("https://ae.linkedin.com/in/syed-basar-shueb-uae","LinkedIn profili")</f>
        <v/>
      </c>
      <c r="J175" s="11">
        <f>HYPERLINK("https://www.ihcuae.com","ihcuae.com")</f>
        <v/>
      </c>
      <c r="K175" s="10" t="inlineStr"/>
      <c r="L175" s="10" t="inlineStr"/>
      <c r="M175" s="10" t="inlineStr"/>
      <c r="N175" s="10" t="inlineStr"/>
      <c r="O175" s="11">
        <f>HYPERLINK("https://www.ihcuae.com/leadership","Kaynak")</f>
        <v/>
      </c>
    </row>
    <row r="176" ht="30" customHeight="1">
      <c r="A176" s="8" t="n">
        <v>174</v>
      </c>
      <c r="B176" s="14" t="inlineStr">
        <is>
          <t>Borsa Kurul/C-Suite</t>
        </is>
      </c>
      <c r="C176" s="10" t="inlineStr">
        <is>
          <t>Restaurants</t>
        </is>
      </c>
      <c r="D176" s="10" t="inlineStr">
        <is>
          <t>Amarpal Sandhu</t>
        </is>
      </c>
      <c r="E176" s="10" t="inlineStr">
        <is>
          <t>CEO</t>
        </is>
      </c>
      <c r="F176" s="10" t="inlineStr">
        <is>
          <t>Americana Restaurants</t>
        </is>
      </c>
      <c r="G176" s="10" t="inlineStr">
        <is>
          <t>BAE</t>
        </is>
      </c>
      <c r="H176" s="13" t="inlineStr">
        <is>
          <t>Yüksek (profesyonel)</t>
        </is>
      </c>
      <c r="I176" s="11">
        <f>HYPERLINK("https://www.linkedin.com/search/results/people/?keywords=Amarpal%20Sandhu%20Americana","LinkedIn'de bul")</f>
        <v/>
      </c>
      <c r="J176" s="11">
        <f>HYPERLINK("https://www.americanarestaurants.com","americanarestaurants.com")</f>
        <v/>
      </c>
      <c r="K176" s="10" t="inlineStr"/>
      <c r="L176" s="10" t="inlineStr"/>
      <c r="M176" s="10" t="inlineStr"/>
      <c r="N176" s="10" t="inlineStr"/>
      <c r="O176" s="11">
        <f>HYPERLINK("https://www.americanarestaurants.com/our-leadership/","Kaynak")</f>
        <v/>
      </c>
    </row>
    <row r="177" ht="30" customHeight="1">
      <c r="A177" s="8" t="n">
        <v>175</v>
      </c>
      <c r="B177" s="14" t="inlineStr">
        <is>
          <t>Borsa Kurul/C-Suite</t>
        </is>
      </c>
      <c r="C177" s="10" t="inlineStr">
        <is>
          <t>Restaurants</t>
        </is>
      </c>
      <c r="D177" s="10" t="inlineStr">
        <is>
          <t>Rahul Mathur</t>
        </is>
      </c>
      <c r="E177" s="10" t="inlineStr">
        <is>
          <t>CFO</t>
        </is>
      </c>
      <c r="F177" s="10" t="inlineStr">
        <is>
          <t>Americana Restaurants</t>
        </is>
      </c>
      <c r="G177" s="10" t="inlineStr">
        <is>
          <t>BAE</t>
        </is>
      </c>
      <c r="H177" s="13" t="inlineStr">
        <is>
          <t>Yüksek (profesyonel)</t>
        </is>
      </c>
      <c r="I177" s="11">
        <f>HYPERLINK("https://www.linkedin.com/search/results/people/?keywords=Rahul%20Mathur%20Americana","LinkedIn'de bul")</f>
        <v/>
      </c>
      <c r="J177" s="11">
        <f>HYPERLINK("https://www.americanarestaurants.com","americanarestaurants.com")</f>
        <v/>
      </c>
      <c r="K177" s="10" t="inlineStr"/>
      <c r="L177" s="10" t="inlineStr"/>
      <c r="M177" s="10" t="inlineStr"/>
      <c r="N177" s="10" t="inlineStr"/>
      <c r="O177" s="11">
        <f>HYPERLINK("https://www.americanarestaurants.com/our-leadership/","Kaynak")</f>
        <v/>
      </c>
    </row>
    <row r="178" ht="30" customHeight="1">
      <c r="A178" s="8" t="n">
        <v>176</v>
      </c>
      <c r="B178" s="14" t="inlineStr">
        <is>
          <t>Borsa Kurul/C-Suite</t>
        </is>
      </c>
      <c r="C178" s="10" t="inlineStr">
        <is>
          <t>Food &amp; Beverage</t>
        </is>
      </c>
      <c r="D178" s="10" t="inlineStr">
        <is>
          <t>Khalifa Sultan Al Suwaidi</t>
        </is>
      </c>
      <c r="E178" s="10" t="inlineStr">
        <is>
          <t>Chairman</t>
        </is>
      </c>
      <c r="F178" s="10" t="inlineStr">
        <is>
          <t>Agthia Group</t>
        </is>
      </c>
      <c r="G178" s="10" t="inlineStr">
        <is>
          <t>BAE</t>
        </is>
      </c>
      <c r="H178" s="10" t="inlineStr">
        <is>
          <t>Orta (başkan)</t>
        </is>
      </c>
      <c r="I178" s="11">
        <f>HYPERLINK("https://www.linkedin.com/search/results/people/?keywords=Khalifa%20Al%20Suwaidi%20Agthia","LinkedIn'de bul")</f>
        <v/>
      </c>
      <c r="J178" s="11">
        <f>HYPERLINK("https://www.agthia.com","agthia.com")</f>
        <v/>
      </c>
      <c r="K178" s="10" t="inlineStr"/>
      <c r="L178" s="10" t="inlineStr"/>
      <c r="M178" s="10" t="inlineStr"/>
      <c r="N178" s="10" t="inlineStr"/>
      <c r="O178" s="11">
        <f>HYPERLINK("https://www.agthia.com/board-of-directors/","Kaynak")</f>
        <v/>
      </c>
    </row>
    <row r="179" ht="30" customHeight="1">
      <c r="A179" s="8" t="n">
        <v>177</v>
      </c>
      <c r="B179" s="14" t="inlineStr">
        <is>
          <t>Borsa Kurul/C-Suite</t>
        </is>
      </c>
      <c r="C179" s="10" t="inlineStr">
        <is>
          <t>Food &amp; Beverage</t>
        </is>
      </c>
      <c r="D179" s="10" t="inlineStr">
        <is>
          <t>Salmeen Al Ameri</t>
        </is>
      </c>
      <c r="E179" s="10" t="inlineStr">
        <is>
          <t>MD &amp; CEO</t>
        </is>
      </c>
      <c r="F179" s="10" t="inlineStr">
        <is>
          <t>Agthia Group</t>
        </is>
      </c>
      <c r="G179" s="10" t="inlineStr">
        <is>
          <t>BAE</t>
        </is>
      </c>
      <c r="H179" s="13" t="inlineStr">
        <is>
          <t>Yüksek (profesyonel)</t>
        </is>
      </c>
      <c r="I179" s="11">
        <f>HYPERLINK("https://www.linkedin.com/search/results/people/?keywords=Salmeen%20Al%20Ameri%20Agthia","LinkedIn'de bul")</f>
        <v/>
      </c>
      <c r="J179" s="11">
        <f>HYPERLINK("https://www.agthia.com","agthia.com")</f>
        <v/>
      </c>
      <c r="K179" s="10" t="inlineStr"/>
      <c r="L179" s="10" t="inlineStr"/>
      <c r="M179" s="10" t="inlineStr"/>
      <c r="N179" s="10" t="inlineStr"/>
      <c r="O179" s="11">
        <f>HYPERLINK("https://www.agthia.com/news/agthia-group-announces-ceo-transition-to-lead-companys-next-phase-of-growth/","Kaynak")</f>
        <v/>
      </c>
    </row>
    <row r="180" ht="30" customHeight="1">
      <c r="A180" s="8" t="n">
        <v>178</v>
      </c>
      <c r="B180" s="14" t="inlineStr">
        <is>
          <t>Borsa Kurul/C-Suite</t>
        </is>
      </c>
      <c r="C180" s="10" t="inlineStr">
        <is>
          <t>Food &amp; Beverage</t>
        </is>
      </c>
      <c r="D180" s="10" t="inlineStr">
        <is>
          <t>Jeroen Nijs</t>
        </is>
      </c>
      <c r="E180" s="10" t="inlineStr">
        <is>
          <t>CFO</t>
        </is>
      </c>
      <c r="F180" s="10" t="inlineStr">
        <is>
          <t>Agthia Group</t>
        </is>
      </c>
      <c r="G180" s="10" t="inlineStr">
        <is>
          <t>BAE</t>
        </is>
      </c>
      <c r="H180" s="13" t="inlineStr">
        <is>
          <t>Yüksek (profesyonel)</t>
        </is>
      </c>
      <c r="I180" s="11">
        <f>HYPERLINK("https://www.linkedin.com/search/results/people/?keywords=Jeroen%20Nijs%20Agthia","LinkedIn'de bul")</f>
        <v/>
      </c>
      <c r="J180" s="11">
        <f>HYPERLINK("https://www.agthia.com","agthia.com")</f>
        <v/>
      </c>
      <c r="K180" s="10" t="inlineStr"/>
      <c r="L180" s="10" t="inlineStr"/>
      <c r="M180" s="10" t="inlineStr"/>
      <c r="N180" s="10" t="inlineStr"/>
      <c r="O180" s="11">
        <f>HYPERLINK("https://www.agthia.com/news/meet-our-new-cfo/","Kaynak")</f>
        <v/>
      </c>
    </row>
    <row r="181" ht="30" customHeight="1">
      <c r="A181" s="8" t="n">
        <v>179</v>
      </c>
      <c r="B181" s="14" t="inlineStr">
        <is>
          <t>Borsa Kurul/C-Suite</t>
        </is>
      </c>
      <c r="C181" s="10" t="inlineStr">
        <is>
          <t>Retail</t>
        </is>
      </c>
      <c r="D181" s="10" t="inlineStr">
        <is>
          <t>Prasad KK</t>
        </is>
      </c>
      <c r="E181" s="10" t="inlineStr">
        <is>
          <t>CFO</t>
        </is>
      </c>
      <c r="F181" s="10" t="inlineStr">
        <is>
          <t>Lulu Retail Holdings</t>
        </is>
      </c>
      <c r="G181" s="10" t="inlineStr">
        <is>
          <t>BAE</t>
        </is>
      </c>
      <c r="H181" s="13" t="inlineStr">
        <is>
          <t>Yüksek (profesyonel)</t>
        </is>
      </c>
      <c r="I181" s="11">
        <f>HYPERLINK("https://www.linkedin.com/search/results/people/?keywords=Prasad%20KK%20Lulu%20Retail","LinkedIn'de bul")</f>
        <v/>
      </c>
      <c r="J181" s="11">
        <f>HYPERLINK("https://www.luluretail.com","luluretail.com")</f>
        <v/>
      </c>
      <c r="K181" s="10" t="inlineStr"/>
      <c r="L181" s="10" t="inlineStr"/>
      <c r="M181" s="10" t="inlineStr"/>
      <c r="N181" s="10" t="inlineStr"/>
      <c r="O181" s="11">
        <f>HYPERLINK("https://www.luluretail.com/about-us/senior-management/","Kaynak")</f>
        <v/>
      </c>
    </row>
    <row r="182" ht="30" customHeight="1">
      <c r="A182" s="8" t="n">
        <v>180</v>
      </c>
      <c r="B182" s="14" t="inlineStr">
        <is>
          <t>Borsa Kurul/C-Suite</t>
        </is>
      </c>
      <c r="C182" s="10" t="inlineStr">
        <is>
          <t>Aviation</t>
        </is>
      </c>
      <c r="D182" s="10" t="inlineStr">
        <is>
          <t>Sheikh Abdullah Bin Mohammad Al Thani</t>
        </is>
      </c>
      <c r="E182" s="10" t="inlineStr">
        <is>
          <t>Chairman</t>
        </is>
      </c>
      <c r="F182" s="10" t="inlineStr">
        <is>
          <t>Air Arabia</t>
        </is>
      </c>
      <c r="G182" s="10" t="inlineStr">
        <is>
          <t>BAE</t>
        </is>
      </c>
      <c r="H182" s="10" t="inlineStr">
        <is>
          <t>Düşük (royal/sahip)</t>
        </is>
      </c>
      <c r="I182" s="11">
        <f>HYPERLINK("https://www.linkedin.com/search/results/people/?keywords=Abdullah%20Bin%20Mohammad%20Al%20Thani%20Air%20Arabia","LinkedIn'de bul")</f>
        <v/>
      </c>
      <c r="J182" s="11">
        <f>HYPERLINK("https://www.airarabia.com","airarabia.com")</f>
        <v/>
      </c>
      <c r="K182" s="10" t="inlineStr"/>
      <c r="L182" s="10" t="inlineStr"/>
      <c r="M182" s="10" t="inlineStr"/>
      <c r="N182" s="10" t="inlineStr"/>
      <c r="O182" s="11">
        <f>HYPERLINK("https://www.airarabia.com/en/board-directors","Kaynak")</f>
        <v/>
      </c>
    </row>
    <row r="183" ht="30" customHeight="1">
      <c r="A183" s="8" t="n">
        <v>181</v>
      </c>
      <c r="B183" s="14" t="inlineStr">
        <is>
          <t>Borsa Kurul/C-Suite</t>
        </is>
      </c>
      <c r="C183" s="10" t="inlineStr">
        <is>
          <t>Aviation</t>
        </is>
      </c>
      <c r="D183" s="10" t="inlineStr">
        <is>
          <t>Adel Abdullah Ali</t>
        </is>
      </c>
      <c r="E183" s="10" t="inlineStr">
        <is>
          <t>Group CEO</t>
        </is>
      </c>
      <c r="F183" s="10" t="inlineStr">
        <is>
          <t>Air Arabia</t>
        </is>
      </c>
      <c r="G183" s="10" t="inlineStr">
        <is>
          <t>BAE</t>
        </is>
      </c>
      <c r="H183" s="13" t="inlineStr">
        <is>
          <t>Yüksek (profesyonel)</t>
        </is>
      </c>
      <c r="I183" s="11">
        <f>HYPERLINK("https://www.linkedin.com/search/results/people/?keywords=Adel%20Abdullah%20Ali%20Air%20Arabia","LinkedIn'de bul")</f>
        <v/>
      </c>
      <c r="J183" s="11">
        <f>HYPERLINK("https://www.airarabia.com","airarabia.com")</f>
        <v/>
      </c>
      <c r="K183" s="10" t="inlineStr"/>
      <c r="L183" s="10" t="inlineStr"/>
      <c r="M183" s="10" t="inlineStr"/>
      <c r="N183" s="10" t="inlineStr"/>
      <c r="O183" s="11">
        <f>HYPERLINK("https://www.airarabia.com/en/group-ceo","Kaynak")</f>
        <v/>
      </c>
    </row>
    <row r="184" ht="30" customHeight="1">
      <c r="A184" s="8" t="n">
        <v>182</v>
      </c>
      <c r="B184" s="14" t="inlineStr">
        <is>
          <t>Borsa Kurul/C-Suite</t>
        </is>
      </c>
      <c r="C184" s="10" t="inlineStr">
        <is>
          <t>Aviation</t>
        </is>
      </c>
      <c r="D184" s="10" t="inlineStr">
        <is>
          <t>Adel Ahmad Al Soori</t>
        </is>
      </c>
      <c r="E184" s="10" t="inlineStr">
        <is>
          <t>Group CFO</t>
        </is>
      </c>
      <c r="F184" s="10" t="inlineStr">
        <is>
          <t>Emirates Airline</t>
        </is>
      </c>
      <c r="G184" s="10" t="inlineStr">
        <is>
          <t>BAE</t>
        </is>
      </c>
      <c r="H184" s="13" t="inlineStr">
        <is>
          <t>Yüksek (profesyonel)</t>
        </is>
      </c>
      <c r="I184" s="11">
        <f>HYPERLINK("https://www.linkedin.com/search/results/people/?keywords=Adel%20Al%20Soori%20Emirates","LinkedIn'de bul")</f>
        <v/>
      </c>
      <c r="J184" s="11">
        <f>HYPERLINK("https://www.emirates.com","emirates.com")</f>
        <v/>
      </c>
      <c r="K184" s="10" t="inlineStr"/>
      <c r="L184" s="10" t="inlineStr"/>
      <c r="M184" s="10" t="inlineStr"/>
      <c r="N184" s="10" t="inlineStr"/>
      <c r="O184" s="11">
        <f>HYPERLINK("https://www.emirates.com/english/about-us/our-people/leadership-team/","Kaynak")</f>
        <v/>
      </c>
    </row>
    <row r="185" ht="30" customHeight="1">
      <c r="A185" s="8" t="n">
        <v>183</v>
      </c>
      <c r="B185" s="14" t="inlineStr">
        <is>
          <t>Borsa Kurul/C-Suite</t>
        </is>
      </c>
      <c r="C185" s="10" t="inlineStr">
        <is>
          <t>Aviation</t>
        </is>
      </c>
      <c r="D185" s="10" t="inlineStr">
        <is>
          <t>Mohamed Mubarak Al Mazrouei</t>
        </is>
      </c>
      <c r="E185" s="10" t="inlineStr">
        <is>
          <t>Chairman</t>
        </is>
      </c>
      <c r="F185" s="10" t="inlineStr">
        <is>
          <t>Etihad Airways</t>
        </is>
      </c>
      <c r="G185" s="10" t="inlineStr">
        <is>
          <t>BAE</t>
        </is>
      </c>
      <c r="H185" s="10" t="inlineStr">
        <is>
          <t>Orta (başkan)</t>
        </is>
      </c>
      <c r="I185" s="11">
        <f>HYPERLINK("https://www.linkedin.com/search/results/people/?keywords=Mohamed%20Al%20Mazrouei%20Etihad","LinkedIn'de bul")</f>
        <v/>
      </c>
      <c r="J185" s="11">
        <f>HYPERLINK("https://www.etihad.com","etihad.com")</f>
        <v/>
      </c>
      <c r="K185" s="10" t="inlineStr"/>
      <c r="L185" s="10" t="inlineStr"/>
      <c r="M185" s="10" t="inlineStr"/>
      <c r="N185" s="10" t="inlineStr"/>
      <c r="O185" s="11">
        <f>HYPERLINK("https://www.etihad.com/en/about-us/leadership","Kaynak")</f>
        <v/>
      </c>
    </row>
    <row r="186" ht="30" customHeight="1">
      <c r="A186" s="8" t="n">
        <v>184</v>
      </c>
      <c r="B186" s="14" t="inlineStr">
        <is>
          <t>Borsa Kurul/C-Suite</t>
        </is>
      </c>
      <c r="C186" s="10" t="inlineStr">
        <is>
          <t>Aviation</t>
        </is>
      </c>
      <c r="D186" s="10" t="inlineStr">
        <is>
          <t>Antonoaldo Neves</t>
        </is>
      </c>
      <c r="E186" s="10" t="inlineStr">
        <is>
          <t>CEO</t>
        </is>
      </c>
      <c r="F186" s="10" t="inlineStr">
        <is>
          <t>Etihad Airways</t>
        </is>
      </c>
      <c r="G186" s="10" t="inlineStr">
        <is>
          <t>BAE</t>
        </is>
      </c>
      <c r="H186" s="13" t="inlineStr">
        <is>
          <t>Yüksek (profesyonel)</t>
        </is>
      </c>
      <c r="I186" s="11">
        <f>HYPERLINK("https://www.linkedin.com/search/results/people/?keywords=Antonoaldo%20Neves%20Etihad","LinkedIn'de bul")</f>
        <v/>
      </c>
      <c r="J186" s="11">
        <f>HYPERLINK("https://www.etihad.com","etihad.com")</f>
        <v/>
      </c>
      <c r="K186" s="10" t="inlineStr"/>
      <c r="L186" s="10" t="inlineStr"/>
      <c r="M186" s="10" t="inlineStr"/>
      <c r="N186" s="10" t="inlineStr"/>
      <c r="O186" s="11">
        <f>HYPERLINK("https://www.etihad.com/en/about-us/leadership","Kaynak")</f>
        <v/>
      </c>
    </row>
    <row r="187" ht="30" customHeight="1">
      <c r="A187" s="8" t="n">
        <v>185</v>
      </c>
      <c r="B187" s="14" t="inlineStr">
        <is>
          <t>Borsa Kurul/C-Suite</t>
        </is>
      </c>
      <c r="C187" s="10" t="inlineStr">
        <is>
          <t>Aviation</t>
        </is>
      </c>
      <c r="D187" s="10" t="inlineStr">
        <is>
          <t>Raffael Quintas</t>
        </is>
      </c>
      <c r="E187" s="10" t="inlineStr">
        <is>
          <t>CFO</t>
        </is>
      </c>
      <c r="F187" s="10" t="inlineStr">
        <is>
          <t>Etihad Airways</t>
        </is>
      </c>
      <c r="G187" s="10" t="inlineStr">
        <is>
          <t>BAE</t>
        </is>
      </c>
      <c r="H187" s="13" t="inlineStr">
        <is>
          <t>Yüksek (profesyonel)</t>
        </is>
      </c>
      <c r="I187" s="11">
        <f>HYPERLINK("https://www.linkedin.com/search/results/people/?keywords=Raffael%20Quintas%20Etihad","LinkedIn'de bul")</f>
        <v/>
      </c>
      <c r="J187" s="11">
        <f>HYPERLINK("https://www.etihad.com","etihad.com")</f>
        <v/>
      </c>
      <c r="K187" s="10" t="inlineStr"/>
      <c r="L187" s="10" t="inlineStr"/>
      <c r="M187" s="10" t="inlineStr"/>
      <c r="N187" s="10" t="inlineStr"/>
      <c r="O187" s="11">
        <f>HYPERLINK("https://www.etihad.com/en/news/etihad-airways-appoints-raffael-quintas-as-chief-financial-officer","Kaynak")</f>
        <v/>
      </c>
    </row>
    <row r="188" ht="30" customHeight="1">
      <c r="A188" s="8" t="n">
        <v>186</v>
      </c>
      <c r="B188" s="14" t="inlineStr">
        <is>
          <t>Borsa Kurul/C-Suite</t>
        </is>
      </c>
      <c r="C188" s="10" t="inlineStr">
        <is>
          <t>Investment Holding</t>
        </is>
      </c>
      <c r="D188" s="10" t="inlineStr">
        <is>
          <t>Hamad Salem Al Ameri</t>
        </is>
      </c>
      <c r="E188" s="10" t="inlineStr">
        <is>
          <t>MD &amp; Group CEO</t>
        </is>
      </c>
      <c r="F188" s="10" t="inlineStr">
        <is>
          <t>Alpha Dhabi Holding</t>
        </is>
      </c>
      <c r="G188" s="10" t="inlineStr">
        <is>
          <t>BAE</t>
        </is>
      </c>
      <c r="H188" s="13" t="inlineStr">
        <is>
          <t>Yüksek (profesyonel)</t>
        </is>
      </c>
      <c r="I188" s="11">
        <f>HYPERLINK("https://www.linkedin.com/search/results/people/?keywords=Hamad%20Al%20Ameri%20Alpha%20Dhabi","LinkedIn'de bul")</f>
        <v/>
      </c>
      <c r="J188" s="11">
        <f>HYPERLINK("https://alphadhabi.com","alphadhabi.com")</f>
        <v/>
      </c>
      <c r="K188" s="10" t="inlineStr"/>
      <c r="L188" s="10" t="inlineStr"/>
      <c r="M188" s="10" t="inlineStr"/>
      <c r="N188" s="10" t="inlineStr"/>
      <c r="O188" s="11">
        <f>HYPERLINK("https://alphadhabi.com/leadership/","Kaynak")</f>
        <v/>
      </c>
    </row>
    <row r="189" ht="30" customHeight="1">
      <c r="A189" s="8" t="n">
        <v>187</v>
      </c>
      <c r="B189" s="14" t="inlineStr">
        <is>
          <t>Borsa Kurul/C-Suite</t>
        </is>
      </c>
      <c r="C189" s="10" t="inlineStr">
        <is>
          <t>Investment Holding</t>
        </is>
      </c>
      <c r="D189" s="10" t="inlineStr">
        <is>
          <t>Fadi Sleiman</t>
        </is>
      </c>
      <c r="E189" s="10" t="inlineStr">
        <is>
          <t>Group CFO</t>
        </is>
      </c>
      <c r="F189" s="10" t="inlineStr">
        <is>
          <t>Alpha Dhabi Holding</t>
        </is>
      </c>
      <c r="G189" s="10" t="inlineStr">
        <is>
          <t>BAE</t>
        </is>
      </c>
      <c r="H189" s="13" t="inlineStr">
        <is>
          <t>Yüksek (profesyonel)</t>
        </is>
      </c>
      <c r="I189" s="11">
        <f>HYPERLINK("https://www.linkedin.com/search/results/people/?keywords=Fadi%20Sleiman%20Alpha%20Dhabi","LinkedIn'de bul")</f>
        <v/>
      </c>
      <c r="J189" s="11">
        <f>HYPERLINK("https://alphadhabi.com","alphadhabi.com")</f>
        <v/>
      </c>
      <c r="K189" s="10" t="inlineStr"/>
      <c r="L189" s="10" t="inlineStr"/>
      <c r="M189" s="10" t="inlineStr"/>
      <c r="N189" s="10" t="inlineStr"/>
      <c r="O189" s="11">
        <f>HYPERLINK("https://alphadhabi.com/leadership/","Kaynak")</f>
        <v/>
      </c>
    </row>
    <row r="190" ht="30" customHeight="1">
      <c r="A190" s="8" t="n">
        <v>188</v>
      </c>
      <c r="B190" s="14" t="inlineStr">
        <is>
          <t>Borsa Kurul/C-Suite</t>
        </is>
      </c>
      <c r="C190" s="10" t="inlineStr">
        <is>
          <t>Investment Holding</t>
        </is>
      </c>
      <c r="D190" s="10" t="inlineStr">
        <is>
          <t>Samia Bouazza</t>
        </is>
      </c>
      <c r="E190" s="10" t="inlineStr">
        <is>
          <t>Group CEO &amp; MD</t>
        </is>
      </c>
      <c r="F190" s="10" t="inlineStr">
        <is>
          <t>Multiply Group</t>
        </is>
      </c>
      <c r="G190" s="10" t="inlineStr">
        <is>
          <t>BAE</t>
        </is>
      </c>
      <c r="H190" s="13" t="inlineStr">
        <is>
          <t>Yüksek (profesyonel)</t>
        </is>
      </c>
      <c r="I190" s="11">
        <f>HYPERLINK("https://www.linkedin.com/search/results/people/?keywords=Samia%20Bouazza%20Multiply%20Group","LinkedIn'de bul")</f>
        <v/>
      </c>
      <c r="J190" s="11">
        <f>HYPERLINK("https://2pointzero.com","2pointzero.com")</f>
        <v/>
      </c>
      <c r="K190" s="10" t="inlineStr"/>
      <c r="L190" s="10" t="inlineStr"/>
      <c r="M190" s="10" t="inlineStr"/>
      <c r="N190" s="10" t="inlineStr"/>
      <c r="O190" s="11">
        <f>HYPERLINK("https://2pointzero.com/who-we-are","Kaynak")</f>
        <v/>
      </c>
    </row>
    <row r="191" ht="30" customHeight="1">
      <c r="A191" s="8" t="n">
        <v>189</v>
      </c>
      <c r="B191" s="14" t="inlineStr">
        <is>
          <t>Borsa Kurul/C-Suite</t>
        </is>
      </c>
      <c r="C191" s="10" t="inlineStr">
        <is>
          <t>Technology</t>
        </is>
      </c>
      <c r="D191" s="10" t="inlineStr">
        <is>
          <t>Thomas Pramotedham</t>
        </is>
      </c>
      <c r="E191" s="10" t="inlineStr">
        <is>
          <t>CEO</t>
        </is>
      </c>
      <c r="F191" s="10" t="inlineStr">
        <is>
          <t>Presight AI</t>
        </is>
      </c>
      <c r="G191" s="10" t="inlineStr">
        <is>
          <t>BAE</t>
        </is>
      </c>
      <c r="H191" s="13" t="inlineStr">
        <is>
          <t>Yüksek (profesyonel)</t>
        </is>
      </c>
      <c r="I191" s="11">
        <f>HYPERLINK("https://www.linkedin.com/search/results/people/?keywords=Thomas%20Pramotedham%20Presight","LinkedIn'de bul")</f>
        <v/>
      </c>
      <c r="J191" s="11">
        <f>HYPERLINK("https://www.presight.ai","presight.ai")</f>
        <v/>
      </c>
      <c r="K191" s="10" t="inlineStr"/>
      <c r="L191" s="10" t="inlineStr"/>
      <c r="M191" s="10" t="inlineStr"/>
      <c r="N191" s="10" t="inlineStr"/>
      <c r="O191" s="11">
        <f>HYPERLINK("https://www.presight.ai/leadership","Kaynak")</f>
        <v/>
      </c>
    </row>
    <row r="192" ht="30" customHeight="1">
      <c r="A192" s="8" t="n">
        <v>190</v>
      </c>
      <c r="B192" s="14" t="inlineStr">
        <is>
          <t>Borsa Kurul/C-Suite</t>
        </is>
      </c>
      <c r="C192" s="10" t="inlineStr">
        <is>
          <t>Technology</t>
        </is>
      </c>
      <c r="D192" s="10" t="inlineStr">
        <is>
          <t>Mauro Pavanello</t>
        </is>
      </c>
      <c r="E192" s="10" t="inlineStr">
        <is>
          <t>CFO</t>
        </is>
      </c>
      <c r="F192" s="10" t="inlineStr">
        <is>
          <t>Presight AI</t>
        </is>
      </c>
      <c r="G192" s="10" t="inlineStr">
        <is>
          <t>BAE</t>
        </is>
      </c>
      <c r="H192" s="13" t="inlineStr">
        <is>
          <t>Yüksek (profesyonel)</t>
        </is>
      </c>
      <c r="I192" s="11">
        <f>HYPERLINK("https://www.linkedin.com/search/results/people/?keywords=Mauro%20Pavanello%20Presight","LinkedIn'de bul")</f>
        <v/>
      </c>
      <c r="J192" s="11">
        <f>HYPERLINK("https://www.presight.ai","presight.ai")</f>
        <v/>
      </c>
      <c r="K192" s="10" t="inlineStr"/>
      <c r="L192" s="10" t="inlineStr"/>
      <c r="M192" s="10" t="inlineStr"/>
      <c r="N192" s="10" t="inlineStr"/>
      <c r="O192" s="11">
        <f>HYPERLINK("https://www.presight.ai/leadership","Kaynak")</f>
        <v/>
      </c>
    </row>
    <row r="193" ht="30" customHeight="1">
      <c r="A193" s="8" t="n">
        <v>191</v>
      </c>
      <c r="B193" s="14" t="inlineStr">
        <is>
          <t>Borsa Kurul/C-Suite</t>
        </is>
      </c>
      <c r="C193" s="10" t="inlineStr">
        <is>
          <t>Luxury Retail</t>
        </is>
      </c>
      <c r="D193" s="10" t="inlineStr">
        <is>
          <t>Patrick Chalhoub</t>
        </is>
      </c>
      <c r="E193" s="10" t="inlineStr">
        <is>
          <t>Executive Chairman</t>
        </is>
      </c>
      <c r="F193" s="10" t="inlineStr">
        <is>
          <t>Chalhoub Group</t>
        </is>
      </c>
      <c r="G193" s="10" t="inlineStr">
        <is>
          <t>BAE</t>
        </is>
      </c>
      <c r="H193" s="10" t="inlineStr">
        <is>
          <t>Orta (başkan)</t>
        </is>
      </c>
      <c r="I193" s="11">
        <f>HYPERLINK("https://www.linkedin.com/search/results/people/?keywords=Patrick%20Chalhoub%20Chalhoub%20Group","LinkedIn'de bul")</f>
        <v/>
      </c>
      <c r="J193" s="11">
        <f>HYPERLINK("https://www.chalhoubgroup.com","chalhoubgroup.com")</f>
        <v/>
      </c>
      <c r="K193" s="10" t="inlineStr"/>
      <c r="L193" s="10" t="inlineStr"/>
      <c r="M193" s="10" t="inlineStr"/>
      <c r="N193" s="10" t="inlineStr"/>
      <c r="O193" s="11">
        <f>HYPERLINK("https://www.chalhoubgroup.com/en/leadership","Kaynak")</f>
        <v/>
      </c>
    </row>
    <row r="194" ht="30" customHeight="1">
      <c r="A194" s="8" t="n">
        <v>192</v>
      </c>
      <c r="B194" s="14" t="inlineStr">
        <is>
          <t>Borsa Kurul/C-Suite</t>
        </is>
      </c>
      <c r="C194" s="10" t="inlineStr">
        <is>
          <t>Luxury Retail</t>
        </is>
      </c>
      <c r="D194" s="10" t="inlineStr">
        <is>
          <t>Michael Chalhoub</t>
        </is>
      </c>
      <c r="E194" s="10" t="inlineStr">
        <is>
          <t>CEO</t>
        </is>
      </c>
      <c r="F194" s="10" t="inlineStr">
        <is>
          <t>Chalhoub Group</t>
        </is>
      </c>
      <c r="G194" s="10" t="inlineStr">
        <is>
          <t>BAE</t>
        </is>
      </c>
      <c r="H194" s="13" t="inlineStr">
        <is>
          <t>Yüksek (profesyonel)</t>
        </is>
      </c>
      <c r="I194" s="11">
        <f>HYPERLINK("https://ae.linkedin.com/in/michaelchalhoub","LinkedIn profili")</f>
        <v/>
      </c>
      <c r="J194" s="11">
        <f>HYPERLINK("https://www.chalhoubgroup.com","chalhoubgroup.com")</f>
        <v/>
      </c>
      <c r="K194" s="10" t="inlineStr"/>
      <c r="L194" s="10" t="inlineStr"/>
      <c r="M194" s="10" t="inlineStr"/>
      <c r="N194" s="10" t="inlineStr"/>
      <c r="O194" s="11">
        <f>HYPERLINK("https://www.chalhoubgroup.com/en/leadership","Kaynak")</f>
        <v/>
      </c>
    </row>
    <row r="195" ht="30" customHeight="1">
      <c r="A195" s="8" t="n">
        <v>193</v>
      </c>
      <c r="B195" s="14" t="inlineStr">
        <is>
          <t>Borsa Kurul/C-Suite</t>
        </is>
      </c>
      <c r="C195" s="10" t="inlineStr">
        <is>
          <t>Luxury Retail</t>
        </is>
      </c>
      <c r="D195" s="10" t="inlineStr">
        <is>
          <t>Tracey Griffin</t>
        </is>
      </c>
      <c r="E195" s="10" t="inlineStr">
        <is>
          <t>CFO</t>
        </is>
      </c>
      <c r="F195" s="10" t="inlineStr">
        <is>
          <t>Chalhoub Group</t>
        </is>
      </c>
      <c r="G195" s="10" t="inlineStr">
        <is>
          <t>BAE</t>
        </is>
      </c>
      <c r="H195" s="13" t="inlineStr">
        <is>
          <t>Yüksek (profesyonel)</t>
        </is>
      </c>
      <c r="I195" s="11">
        <f>HYPERLINK("https://www.linkedin.com/search/results/people/?keywords=Tracey%20Griffin%20Chalhoub%20Group","LinkedIn'de bul")</f>
        <v/>
      </c>
      <c r="J195" s="11">
        <f>HYPERLINK("https://www.chalhoubgroup.com","chalhoubgroup.com")</f>
        <v/>
      </c>
      <c r="K195" s="10" t="inlineStr"/>
      <c r="L195" s="10" t="inlineStr"/>
      <c r="M195" s="10" t="inlineStr"/>
      <c r="N195" s="10" t="inlineStr"/>
      <c r="O195" s="11">
        <f>HYPERLINK("https://www.chalhoubgroup.com/en/leadership","Kaynak")</f>
        <v/>
      </c>
    </row>
    <row r="196" ht="30" customHeight="1">
      <c r="A196" s="8" t="n">
        <v>194</v>
      </c>
      <c r="B196" s="14" t="inlineStr">
        <is>
          <t>Borsa Kurul/C-Suite</t>
        </is>
      </c>
      <c r="C196" s="10" t="inlineStr">
        <is>
          <t>Banking</t>
        </is>
      </c>
      <c r="D196" s="10" t="inlineStr">
        <is>
          <t>Ali bin Ahmed Al-Kuwari</t>
        </is>
      </c>
      <c r="E196" s="10" t="inlineStr">
        <is>
          <t>Chairman</t>
        </is>
      </c>
      <c r="F196" s="10" t="inlineStr">
        <is>
          <t>Qatar National Bank (QNB)</t>
        </is>
      </c>
      <c r="G196" s="10" t="inlineStr">
        <is>
          <t>Katar</t>
        </is>
      </c>
      <c r="H196" s="10" t="inlineStr">
        <is>
          <t>Orta (başkan)</t>
        </is>
      </c>
      <c r="I196" s="11">
        <f>HYPERLINK("https://www.linkedin.com/search/results/people/?keywords=Ali%20Al-Kuwari%20QNB","LinkedIn'de bul")</f>
        <v/>
      </c>
      <c r="J196" s="11">
        <f>HYPERLINK("https://www.qnb.com","qnb.com")</f>
        <v/>
      </c>
      <c r="K196" s="10" t="inlineStr"/>
      <c r="L196" s="10" t="inlineStr"/>
      <c r="M196" s="10" t="inlineStr"/>
      <c r="N196" s="10" t="inlineStr"/>
      <c r="O196" s="11">
        <f>HYPERLINK("https://www.qnb.com/cs/Satellite/QNBQatar/en_QA/enAboutQNBBoardofDirectors","Kaynak")</f>
        <v/>
      </c>
    </row>
    <row r="197" ht="30" customHeight="1">
      <c r="A197" s="8" t="n">
        <v>195</v>
      </c>
      <c r="B197" s="14" t="inlineStr">
        <is>
          <t>Borsa Kurul/C-Suite</t>
        </is>
      </c>
      <c r="C197" s="10" t="inlineStr">
        <is>
          <t>Banking</t>
        </is>
      </c>
      <c r="D197" s="10" t="inlineStr">
        <is>
          <t>Ramzi Talat Mari</t>
        </is>
      </c>
      <c r="E197" s="10" t="inlineStr">
        <is>
          <t>Group CFO</t>
        </is>
      </c>
      <c r="F197" s="10" t="inlineStr">
        <is>
          <t>Qatar National Bank (QNB)</t>
        </is>
      </c>
      <c r="G197" s="10" t="inlineStr">
        <is>
          <t>Katar</t>
        </is>
      </c>
      <c r="H197" s="13" t="inlineStr">
        <is>
          <t>Yüksek (profesyonel)</t>
        </is>
      </c>
      <c r="I197" s="11">
        <f>HYPERLINK("https://www.linkedin.com/search/results/people/?keywords=Ramzi%20Mari%20QNB","LinkedIn'de bul")</f>
        <v/>
      </c>
      <c r="J197" s="11">
        <f>HYPERLINK("https://www.qnb.com","qnb.com")</f>
        <v/>
      </c>
      <c r="K197" s="10" t="inlineStr"/>
      <c r="L197" s="10" t="inlineStr"/>
      <c r="M197" s="10" t="inlineStr"/>
      <c r="N197" s="10" t="inlineStr"/>
      <c r="O197" s="11">
        <f>HYPERLINK("https://www.qnb.com/cs/Satellite/QNBQatar/en_QA/enAboutQNBExecutiveManagement","Kaynak")</f>
        <v/>
      </c>
    </row>
    <row r="198" ht="30" customHeight="1">
      <c r="A198" s="8" t="n">
        <v>196</v>
      </c>
      <c r="B198" s="14" t="inlineStr">
        <is>
          <t>Borsa Kurul/C-Suite</t>
        </is>
      </c>
      <c r="C198" s="10" t="inlineStr">
        <is>
          <t>Banking</t>
        </is>
      </c>
      <c r="D198" s="10" t="inlineStr">
        <is>
          <t>Sheikh Abdulla bin Ali Al Thani</t>
        </is>
      </c>
      <c r="E198" s="10" t="inlineStr">
        <is>
          <t>Chairman</t>
        </is>
      </c>
      <c r="F198" s="10" t="inlineStr">
        <is>
          <t>Commercial Bank of Qatar</t>
        </is>
      </c>
      <c r="G198" s="10" t="inlineStr">
        <is>
          <t>Katar</t>
        </is>
      </c>
      <c r="H198" s="10" t="inlineStr">
        <is>
          <t>Düşük (royal/sahip)</t>
        </is>
      </c>
      <c r="I198" s="11">
        <f>HYPERLINK("https://www.linkedin.com/search/results/people/?keywords=Abdulla%20bin%20Ali%20Al%20Thani%20Commercial%20Bank%20Qatar","LinkedIn'de bul")</f>
        <v/>
      </c>
      <c r="J198" s="11">
        <f>HYPERLINK("https://www.cbq.qa","cbq.qa")</f>
        <v/>
      </c>
      <c r="K198" s="10" t="inlineStr"/>
      <c r="L198" s="10" t="inlineStr"/>
      <c r="M198" s="10" t="inlineStr"/>
      <c r="N198" s="10" t="inlineStr"/>
      <c r="O198" s="11">
        <f>HYPERLINK("https://www.cbq.qa/en/investor-relations/corporate-governance/board-of-directors","Kaynak")</f>
        <v/>
      </c>
    </row>
    <row r="199" ht="30" customHeight="1">
      <c r="A199" s="8" t="n">
        <v>197</v>
      </c>
      <c r="B199" s="14" t="inlineStr">
        <is>
          <t>Borsa Kurul/C-Suite</t>
        </is>
      </c>
      <c r="C199" s="10" t="inlineStr">
        <is>
          <t>Banking</t>
        </is>
      </c>
      <c r="D199" s="10" t="inlineStr">
        <is>
          <t>Noman Ali</t>
        </is>
      </c>
      <c r="E199" s="10" t="inlineStr">
        <is>
          <t>CFO</t>
        </is>
      </c>
      <c r="F199" s="10" t="inlineStr">
        <is>
          <t>Commercial Bank of Qatar</t>
        </is>
      </c>
      <c r="G199" s="10" t="inlineStr">
        <is>
          <t>Katar</t>
        </is>
      </c>
      <c r="H199" s="13" t="inlineStr">
        <is>
          <t>Yüksek (profesyonel)</t>
        </is>
      </c>
      <c r="I199" s="11">
        <f>HYPERLINK("https://www.linkedin.com/search/results/people/?keywords=Noman%20Ali%20Commercial%20Bank%20Qatar","LinkedIn'de bul")</f>
        <v/>
      </c>
      <c r="J199" s="11">
        <f>HYPERLINK("https://www.cbq.qa","cbq.qa")</f>
        <v/>
      </c>
      <c r="K199" s="10" t="inlineStr"/>
      <c r="L199" s="10" t="inlineStr"/>
      <c r="M199" s="10" t="inlineStr"/>
      <c r="N199" s="10" t="inlineStr"/>
      <c r="O199" s="11">
        <f>HYPERLINK("https://www.cbq.qa/en/about-us/executive-management","Kaynak")</f>
        <v/>
      </c>
    </row>
    <row r="200" ht="30" customHeight="1">
      <c r="A200" s="8" t="n">
        <v>198</v>
      </c>
      <c r="B200" s="14" t="inlineStr">
        <is>
          <t>Borsa Kurul/C-Suite</t>
        </is>
      </c>
      <c r="C200" s="10" t="inlineStr">
        <is>
          <t>Islamic Banking</t>
        </is>
      </c>
      <c r="D200" s="10" t="inlineStr">
        <is>
          <t>Sheikh Jassim bin Hamad Al Thani</t>
        </is>
      </c>
      <c r="E200" s="10" t="inlineStr">
        <is>
          <t>Chairman</t>
        </is>
      </c>
      <c r="F200" s="10" t="inlineStr">
        <is>
          <t>Qatar Islamic Bank (QIB)</t>
        </is>
      </c>
      <c r="G200" s="10" t="inlineStr">
        <is>
          <t>Katar</t>
        </is>
      </c>
      <c r="H200" s="10" t="inlineStr">
        <is>
          <t>Düşük (royal/sahip)</t>
        </is>
      </c>
      <c r="I200" s="11">
        <f>HYPERLINK("https://www.linkedin.com/search/results/people/?keywords=Jassim%20bin%20Hamad%20Al%20Thani%20Qatar%20Islamic%20Bank","LinkedIn'de bul")</f>
        <v/>
      </c>
      <c r="J200" s="11">
        <f>HYPERLINK("https://www.qib.com.qa","qib.com.qa")</f>
        <v/>
      </c>
      <c r="K200" s="10" t="inlineStr"/>
      <c r="L200" s="10" t="inlineStr"/>
      <c r="M200" s="10" t="inlineStr"/>
      <c r="N200" s="10" t="inlineStr"/>
      <c r="O200" s="11">
        <f>HYPERLINK("https://www.qib.com.qa/en/board-of-directors/","Kaynak")</f>
        <v/>
      </c>
    </row>
    <row r="201" ht="30" customHeight="1">
      <c r="A201" s="8" t="n">
        <v>199</v>
      </c>
      <c r="B201" s="14" t="inlineStr">
        <is>
          <t>Borsa Kurul/C-Suite</t>
        </is>
      </c>
      <c r="C201" s="10" t="inlineStr">
        <is>
          <t>Islamic Banking</t>
        </is>
      </c>
      <c r="D201" s="10" t="inlineStr">
        <is>
          <t>Bassel Gamal</t>
        </is>
      </c>
      <c r="E201" s="10" t="inlineStr">
        <is>
          <t>Group CEO</t>
        </is>
      </c>
      <c r="F201" s="10" t="inlineStr">
        <is>
          <t>Qatar Islamic Bank (QIB)</t>
        </is>
      </c>
      <c r="G201" s="10" t="inlineStr">
        <is>
          <t>Katar</t>
        </is>
      </c>
      <c r="H201" s="13" t="inlineStr">
        <is>
          <t>Yüksek (profesyonel)</t>
        </is>
      </c>
      <c r="I201" s="11">
        <f>HYPERLINK("https://www.linkedin.com/search/results/people/?keywords=Bassel%20Gamal%20Qatar%20Islamic%20Bank","LinkedIn'de bul")</f>
        <v/>
      </c>
      <c r="J201" s="11">
        <f>HYPERLINK("https://www.qib.com.qa","qib.com.qa")</f>
        <v/>
      </c>
      <c r="K201" s="10" t="inlineStr"/>
      <c r="L201" s="10" t="inlineStr"/>
      <c r="M201" s="10" t="inlineStr"/>
      <c r="N201" s="10" t="inlineStr"/>
      <c r="O201" s="11">
        <f>HYPERLINK("https://www.qib.com.qa/en/senior-management/","Kaynak")</f>
        <v/>
      </c>
    </row>
    <row r="202" ht="30" customHeight="1">
      <c r="A202" s="8" t="n">
        <v>200</v>
      </c>
      <c r="B202" s="14" t="inlineStr">
        <is>
          <t>Borsa Kurul/C-Suite</t>
        </is>
      </c>
      <c r="C202" s="10" t="inlineStr">
        <is>
          <t>Islamic Banking</t>
        </is>
      </c>
      <c r="D202" s="10" t="inlineStr">
        <is>
          <t>Gourang Hemani</t>
        </is>
      </c>
      <c r="E202" s="10" t="inlineStr">
        <is>
          <t>CFO</t>
        </is>
      </c>
      <c r="F202" s="10" t="inlineStr">
        <is>
          <t>Qatar Islamic Bank (QIB)</t>
        </is>
      </c>
      <c r="G202" s="10" t="inlineStr">
        <is>
          <t>Katar</t>
        </is>
      </c>
      <c r="H202" s="13" t="inlineStr">
        <is>
          <t>Yüksek (profesyonel)</t>
        </is>
      </c>
      <c r="I202" s="11">
        <f>HYPERLINK("https://www.linkedin.com/search/results/people/?keywords=Gourang%20Hemani%20Qatar%20Islamic%20Bank","LinkedIn'de bul")</f>
        <v/>
      </c>
      <c r="J202" s="11">
        <f>HYPERLINK("https://www.qib.com.qa","qib.com.qa")</f>
        <v/>
      </c>
      <c r="K202" s="10" t="inlineStr"/>
      <c r="L202" s="10" t="inlineStr"/>
      <c r="M202" s="10" t="inlineStr"/>
      <c r="N202" s="10" t="inlineStr"/>
      <c r="O202" s="11">
        <f>HYPERLINK("https://www.qib.com.qa/en/senior-management/","Kaynak")</f>
        <v/>
      </c>
    </row>
    <row r="203" ht="30" customHeight="1">
      <c r="A203" s="8" t="n">
        <v>201</v>
      </c>
      <c r="B203" s="14" t="inlineStr">
        <is>
          <t>Borsa Kurul/C-Suite</t>
        </is>
      </c>
      <c r="C203" s="10" t="inlineStr">
        <is>
          <t>Islamic Banking</t>
        </is>
      </c>
      <c r="D203" s="10" t="inlineStr">
        <is>
          <t>Sheikh Mohamed bin Hamad Al Thani</t>
        </is>
      </c>
      <c r="E203" s="10" t="inlineStr">
        <is>
          <t>Chairman</t>
        </is>
      </c>
      <c r="F203" s="10" t="inlineStr">
        <is>
          <t>Masraf Al Rayan</t>
        </is>
      </c>
      <c r="G203" s="10" t="inlineStr">
        <is>
          <t>Katar</t>
        </is>
      </c>
      <c r="H203" s="10" t="inlineStr">
        <is>
          <t>Düşük (royal/sahip)</t>
        </is>
      </c>
      <c r="I203" s="11">
        <f>HYPERLINK("https://www.linkedin.com/search/results/people/?keywords=Mohamed%20bin%20Hamad%20Al%20Thani%20Masraf%20Al%20Rayan","LinkedIn'de bul")</f>
        <v/>
      </c>
      <c r="J203" s="11">
        <f>HYPERLINK("https://www.alrayan.com","alrayan.com")</f>
        <v/>
      </c>
      <c r="K203" s="10" t="inlineStr"/>
      <c r="L203" s="10" t="inlineStr"/>
      <c r="M203" s="10" t="inlineStr"/>
      <c r="N203" s="10" t="inlineStr"/>
      <c r="O203" s="11">
        <f>HYPERLINK("https://www.alrayan.com/en/about-us/board","Kaynak")</f>
        <v/>
      </c>
    </row>
    <row r="204" ht="30" customHeight="1">
      <c r="A204" s="8" t="n">
        <v>202</v>
      </c>
      <c r="B204" s="14" t="inlineStr">
        <is>
          <t>Borsa Kurul/C-Suite</t>
        </is>
      </c>
      <c r="C204" s="10" t="inlineStr">
        <is>
          <t>Islamic Banking</t>
        </is>
      </c>
      <c r="D204" s="10" t="inlineStr">
        <is>
          <t>Fahad Abdulla Al Khalifa</t>
        </is>
      </c>
      <c r="E204" s="10" t="inlineStr">
        <is>
          <t>Group CEO</t>
        </is>
      </c>
      <c r="F204" s="10" t="inlineStr">
        <is>
          <t>Masraf Al Rayan</t>
        </is>
      </c>
      <c r="G204" s="10" t="inlineStr">
        <is>
          <t>Katar</t>
        </is>
      </c>
      <c r="H204" s="13" t="inlineStr">
        <is>
          <t>Yüksek (profesyonel)</t>
        </is>
      </c>
      <c r="I204" s="11">
        <f>HYPERLINK("https://www.linkedin.com/search/results/people/?keywords=Fahad%20Al%20Khalifa%20Masraf%20Al%20Rayan","LinkedIn'de bul")</f>
        <v/>
      </c>
      <c r="J204" s="11">
        <f>HYPERLINK("https://www.alrayan.com","alrayan.com")</f>
        <v/>
      </c>
      <c r="K204" s="10" t="inlineStr"/>
      <c r="L204" s="10" t="inlineStr"/>
      <c r="M204" s="10" t="inlineStr"/>
      <c r="N204" s="10" t="inlineStr"/>
      <c r="O204" s="11">
        <f>HYPERLINK("https://www.alrayan.com/en/about-us/management","Kaynak")</f>
        <v/>
      </c>
    </row>
    <row r="205" ht="30" customHeight="1">
      <c r="A205" s="8" t="n">
        <v>203</v>
      </c>
      <c r="B205" s="14" t="inlineStr">
        <is>
          <t>Borsa Kurul/C-Suite</t>
        </is>
      </c>
      <c r="C205" s="10" t="inlineStr">
        <is>
          <t>Islamic Banking</t>
        </is>
      </c>
      <c r="D205" s="10" t="inlineStr">
        <is>
          <t>Saalim Mahmood</t>
        </is>
      </c>
      <c r="E205" s="10" t="inlineStr">
        <is>
          <t>CFSO (CFO)</t>
        </is>
      </c>
      <c r="F205" s="10" t="inlineStr">
        <is>
          <t>Masraf Al Rayan</t>
        </is>
      </c>
      <c r="G205" s="10" t="inlineStr">
        <is>
          <t>Katar</t>
        </is>
      </c>
      <c r="H205" s="13" t="inlineStr">
        <is>
          <t>Yüksek (profesyonel)</t>
        </is>
      </c>
      <c r="I205" s="11">
        <f>HYPERLINK("https://www.linkedin.com/search/results/people/?keywords=Saalim%20Mahmood%20AlRayan%20Bank","LinkedIn'de bul")</f>
        <v/>
      </c>
      <c r="J205" s="11">
        <f>HYPERLINK("https://www.alrayan.com","alrayan.com")</f>
        <v/>
      </c>
      <c r="K205" s="10" t="inlineStr"/>
      <c r="L205" s="10" t="inlineStr"/>
      <c r="M205" s="10" t="inlineStr"/>
      <c r="N205" s="10" t="inlineStr"/>
      <c r="O205" s="11">
        <f>HYPERLINK("https://www.alrayan.com/en/about-us/management","Kaynak")</f>
        <v/>
      </c>
    </row>
    <row r="206" ht="30" customHeight="1">
      <c r="A206" s="8" t="n">
        <v>204</v>
      </c>
      <c r="B206" s="14" t="inlineStr">
        <is>
          <t>Borsa Kurul/C-Suite</t>
        </is>
      </c>
      <c r="C206" s="10" t="inlineStr">
        <is>
          <t>Banking</t>
        </is>
      </c>
      <c r="D206" s="10" t="inlineStr">
        <is>
          <t>Sheikh Fahad bin Mohammad Al Thani</t>
        </is>
      </c>
      <c r="E206" s="10" t="inlineStr">
        <is>
          <t>Chairman</t>
        </is>
      </c>
      <c r="F206" s="10" t="inlineStr">
        <is>
          <t>Doha Bank</t>
        </is>
      </c>
      <c r="G206" s="10" t="inlineStr">
        <is>
          <t>Katar</t>
        </is>
      </c>
      <c r="H206" s="10" t="inlineStr">
        <is>
          <t>Düşük (royal/sahip)</t>
        </is>
      </c>
      <c r="I206" s="11">
        <f>HYPERLINK("https://www.linkedin.com/search/results/people/?keywords=Fahad%20bin%20Mohammad%20Al%20Thani%20Doha%20Bank","LinkedIn'de bul")</f>
        <v/>
      </c>
      <c r="J206" s="11">
        <f>HYPERLINK("https://www.dohabank.com","dohabank.com")</f>
        <v/>
      </c>
      <c r="K206" s="10" t="inlineStr"/>
      <c r="L206" s="10" t="inlineStr"/>
      <c r="M206" s="10" t="inlineStr"/>
      <c r="N206" s="10" t="inlineStr"/>
      <c r="O206" s="11">
        <f>HYPERLINK("https://www.dohabank.com/about-us/board-of-directors/","Kaynak")</f>
        <v/>
      </c>
    </row>
    <row r="207" ht="30" customHeight="1">
      <c r="A207" s="8" t="n">
        <v>205</v>
      </c>
      <c r="B207" s="14" t="inlineStr">
        <is>
          <t>Borsa Kurul/C-Suite</t>
        </is>
      </c>
      <c r="C207" s="10" t="inlineStr">
        <is>
          <t>Banking</t>
        </is>
      </c>
      <c r="D207" s="10" t="inlineStr">
        <is>
          <t>Sheikh Abdulrahman bin Fahad Al Thani</t>
        </is>
      </c>
      <c r="E207" s="10" t="inlineStr">
        <is>
          <t>Group CEO</t>
        </is>
      </c>
      <c r="F207" s="10" t="inlineStr">
        <is>
          <t>Doha Bank</t>
        </is>
      </c>
      <c r="G207" s="10" t="inlineStr">
        <is>
          <t>Katar</t>
        </is>
      </c>
      <c r="H207" s="13" t="inlineStr">
        <is>
          <t>Yüksek (profesyonel)</t>
        </is>
      </c>
      <c r="I207" s="11">
        <f>HYPERLINK("https://www.linkedin.com/search/results/people/?keywords=Abdulrahman%20bin%20Fahad%20Al%20Thani%20Doha%20Bank","LinkedIn'de bul")</f>
        <v/>
      </c>
      <c r="J207" s="11">
        <f>HYPERLINK("https://www.dohabank.com","dohabank.com")</f>
        <v/>
      </c>
      <c r="K207" s="10" t="inlineStr"/>
      <c r="L207" s="10" t="inlineStr"/>
      <c r="M207" s="10" t="inlineStr"/>
      <c r="N207" s="10" t="inlineStr"/>
      <c r="O207" s="11">
        <f>HYPERLINK("https://www.dohabank.com/about-us/executive-management/","Kaynak")</f>
        <v/>
      </c>
    </row>
    <row r="208" ht="30" customHeight="1">
      <c r="A208" s="8" t="n">
        <v>206</v>
      </c>
      <c r="B208" s="14" t="inlineStr">
        <is>
          <t>Borsa Kurul/C-Suite</t>
        </is>
      </c>
      <c r="C208" s="10" t="inlineStr">
        <is>
          <t>Telecom</t>
        </is>
      </c>
      <c r="D208" s="10" t="inlineStr">
        <is>
          <t>Sheikh Faisal bin Thani Al Thani</t>
        </is>
      </c>
      <c r="E208" s="10" t="inlineStr">
        <is>
          <t>Chairman</t>
        </is>
      </c>
      <c r="F208" s="10" t="inlineStr">
        <is>
          <t>Ooredoo</t>
        </is>
      </c>
      <c r="G208" s="10" t="inlineStr">
        <is>
          <t>Katar</t>
        </is>
      </c>
      <c r="H208" s="10" t="inlineStr">
        <is>
          <t>Düşük (royal/sahip)</t>
        </is>
      </c>
      <c r="I208" s="11">
        <f>HYPERLINK("https://www.linkedin.com/search/results/people/?keywords=Faisal%20bin%20Thani%20Al%20Thani%20Ooredoo","LinkedIn'de bul")</f>
        <v/>
      </c>
      <c r="J208" s="11">
        <f>HYPERLINK("https://www.ooredoo.com","ooredoo.com")</f>
        <v/>
      </c>
      <c r="K208" s="10" t="inlineStr"/>
      <c r="L208" s="10" t="inlineStr"/>
      <c r="M208" s="10" t="inlineStr"/>
      <c r="N208" s="10" t="inlineStr"/>
      <c r="O208" s="11">
        <f>HYPERLINK("https://www.ooredoo.com/en/who_we_are/governance_team/board-of-directors/","Kaynak")</f>
        <v/>
      </c>
    </row>
    <row r="209" ht="30" customHeight="1">
      <c r="A209" s="8" t="n">
        <v>207</v>
      </c>
      <c r="B209" s="14" t="inlineStr">
        <is>
          <t>Borsa Kurul/C-Suite</t>
        </is>
      </c>
      <c r="C209" s="10" t="inlineStr">
        <is>
          <t>Telecom</t>
        </is>
      </c>
      <c r="D209" s="10" t="inlineStr">
        <is>
          <t>Aziz Aluthman Fakhroo</t>
        </is>
      </c>
      <c r="E209" s="10" t="inlineStr">
        <is>
          <t>MD &amp; Group CEO</t>
        </is>
      </c>
      <c r="F209" s="10" t="inlineStr">
        <is>
          <t>Ooredoo</t>
        </is>
      </c>
      <c r="G209" s="10" t="inlineStr">
        <is>
          <t>Katar</t>
        </is>
      </c>
      <c r="H209" s="13" t="inlineStr">
        <is>
          <t>Yüksek (profesyonel)</t>
        </is>
      </c>
      <c r="I209" s="11">
        <f>HYPERLINK("https://www.linkedin.com/search/results/people/?keywords=Aziz%20Aluthman%20Fakhroo%20Ooredoo","LinkedIn'de bul")</f>
        <v/>
      </c>
      <c r="J209" s="11">
        <f>HYPERLINK("https://www.ooredoo.com","ooredoo.com")</f>
        <v/>
      </c>
      <c r="K209" s="10" t="inlineStr"/>
      <c r="L209" s="10" t="inlineStr"/>
      <c r="M209" s="10" t="inlineStr"/>
      <c r="N209" s="10" t="inlineStr"/>
      <c r="O209" s="11">
        <f>HYPERLINK("https://www.ooredoo.com/en/who_we_are/governance_team/group-executive-management/","Kaynak")</f>
        <v/>
      </c>
    </row>
    <row r="210" ht="30" customHeight="1">
      <c r="A210" s="8" t="n">
        <v>208</v>
      </c>
      <c r="B210" s="14" t="inlineStr">
        <is>
          <t>Borsa Kurul/C-Suite</t>
        </is>
      </c>
      <c r="C210" s="10" t="inlineStr">
        <is>
          <t>Telecom</t>
        </is>
      </c>
      <c r="D210" s="10" t="inlineStr">
        <is>
          <t>Abdulla Ahmad Al Zaman</t>
        </is>
      </c>
      <c r="E210" s="10" t="inlineStr">
        <is>
          <t>Group CFO</t>
        </is>
      </c>
      <c r="F210" s="10" t="inlineStr">
        <is>
          <t>Ooredoo</t>
        </is>
      </c>
      <c r="G210" s="10" t="inlineStr">
        <is>
          <t>Katar</t>
        </is>
      </c>
      <c r="H210" s="13" t="inlineStr">
        <is>
          <t>Yüksek (profesyonel)</t>
        </is>
      </c>
      <c r="I210" s="11">
        <f>HYPERLINK("https://www.linkedin.com/search/results/people/?keywords=Abdulla%20Al%20Zaman%20Ooredoo","LinkedIn'de bul")</f>
        <v/>
      </c>
      <c r="J210" s="11">
        <f>HYPERLINK("https://www.ooredoo.com","ooredoo.com")</f>
        <v/>
      </c>
      <c r="K210" s="10" t="inlineStr"/>
      <c r="L210" s="10" t="inlineStr"/>
      <c r="M210" s="10" t="inlineStr"/>
      <c r="N210" s="10" t="inlineStr"/>
      <c r="O210" s="11">
        <f>HYPERLINK("https://www.ooredoo.com/en/who_we_are/governance_team/group-executive-management/","Kaynak")</f>
        <v/>
      </c>
    </row>
    <row r="211" ht="30" customHeight="1">
      <c r="A211" s="8" t="n">
        <v>209</v>
      </c>
      <c r="B211" s="14" t="inlineStr">
        <is>
          <t>Borsa Kurul/C-Suite</t>
        </is>
      </c>
      <c r="C211" s="10" t="inlineStr">
        <is>
          <t>Industrials</t>
        </is>
      </c>
      <c r="D211" s="10" t="inlineStr">
        <is>
          <t>Saad Sherida Al-Kaabi</t>
        </is>
      </c>
      <c r="E211" s="10" t="inlineStr">
        <is>
          <t>Chairman &amp; MD</t>
        </is>
      </c>
      <c r="F211" s="10" t="inlineStr">
        <is>
          <t>Industries Qatar</t>
        </is>
      </c>
      <c r="G211" s="10" t="inlineStr">
        <is>
          <t>Katar</t>
        </is>
      </c>
      <c r="H211" s="13" t="inlineStr">
        <is>
          <t>Yüksek (profesyonel)</t>
        </is>
      </c>
      <c r="I211" s="11">
        <f>HYPERLINK("https://www.linkedin.com/search/results/people/?keywords=Saad%20Al-Kaabi%20Industries%20Qatar","LinkedIn'de bul")</f>
        <v/>
      </c>
      <c r="J211" s="11">
        <f>HYPERLINK("https://iq.com.qa","iq.com.qa")</f>
        <v/>
      </c>
      <c r="K211" s="10" t="inlineStr"/>
      <c r="L211" s="10" t="inlineStr"/>
      <c r="M211" s="10" t="inlineStr"/>
      <c r="N211" s="10" t="inlineStr"/>
      <c r="O211" s="11">
        <f>HYPERLINK("https://iq.com.qa/en/about-iq/board-of-directors/his-excellency-mr-saad-sherida-al-kaabi/","Kaynak")</f>
        <v/>
      </c>
    </row>
    <row r="212" ht="30" customHeight="1">
      <c r="A212" s="8" t="n">
        <v>210</v>
      </c>
      <c r="B212" s="14" t="inlineStr">
        <is>
          <t>Borsa Kurul/C-Suite</t>
        </is>
      </c>
      <c r="C212" s="10" t="inlineStr">
        <is>
          <t>Maritime / LNG</t>
        </is>
      </c>
      <c r="D212" s="10" t="inlineStr">
        <is>
          <t>Sheikh Khalid bin Khalifa Al Thani</t>
        </is>
      </c>
      <c r="E212" s="10" t="inlineStr">
        <is>
          <t>Chairman</t>
        </is>
      </c>
      <c r="F212" s="10" t="inlineStr">
        <is>
          <t>Nakilat</t>
        </is>
      </c>
      <c r="G212" s="10" t="inlineStr">
        <is>
          <t>Katar</t>
        </is>
      </c>
      <c r="H212" s="10" t="inlineStr">
        <is>
          <t>Düşük (royal/sahip)</t>
        </is>
      </c>
      <c r="I212" s="11">
        <f>HYPERLINK("https://www.linkedin.com/search/results/people/?keywords=Khalid%20bin%20Khalifa%20Al%20Thani%20Nakilat","LinkedIn'de bul")</f>
        <v/>
      </c>
      <c r="J212" s="11">
        <f>HYPERLINK("https://www.nakilat.com","nakilat.com")</f>
        <v/>
      </c>
      <c r="K212" s="10" t="inlineStr"/>
      <c r="L212" s="10" t="inlineStr"/>
      <c r="M212" s="10" t="inlineStr"/>
      <c r="N212" s="10" t="inlineStr"/>
      <c r="O212" s="11">
        <f>HYPERLINK("https://www.nakilat.com/boardofdirectors/","Kaynak")</f>
        <v/>
      </c>
    </row>
    <row r="213" ht="30" customHeight="1">
      <c r="A213" s="8" t="n">
        <v>211</v>
      </c>
      <c r="B213" s="14" t="inlineStr">
        <is>
          <t>Borsa Kurul/C-Suite</t>
        </is>
      </c>
      <c r="C213" s="10" t="inlineStr">
        <is>
          <t>Maritime / LNG</t>
        </is>
      </c>
      <c r="D213" s="10" t="inlineStr">
        <is>
          <t>Abdullah Al-Sulaiti</t>
        </is>
      </c>
      <c r="E213" s="10" t="inlineStr">
        <is>
          <t>CEO</t>
        </is>
      </c>
      <c r="F213" s="10" t="inlineStr">
        <is>
          <t>Nakilat</t>
        </is>
      </c>
      <c r="G213" s="10" t="inlineStr">
        <is>
          <t>Katar</t>
        </is>
      </c>
      <c r="H213" s="13" t="inlineStr">
        <is>
          <t>Yüksek (profesyonel)</t>
        </is>
      </c>
      <c r="I213" s="11">
        <f>HYPERLINK("https://www.linkedin.com/search/results/people/?keywords=Abdullah%20Al-Sulaiti%20Nakilat","LinkedIn'de bul")</f>
        <v/>
      </c>
      <c r="J213" s="11">
        <f>HYPERLINK("https://www.nakilat.com","nakilat.com")</f>
        <v/>
      </c>
      <c r="K213" s="10" t="inlineStr"/>
      <c r="L213" s="10" t="inlineStr"/>
      <c r="M213" s="10" t="inlineStr"/>
      <c r="N213" s="10" t="inlineStr"/>
      <c r="O213" s="11">
        <f>HYPERLINK("https://www.nakilat.com/management/","Kaynak")</f>
        <v/>
      </c>
    </row>
    <row r="214" ht="30" customHeight="1">
      <c r="A214" s="8" t="n">
        <v>212</v>
      </c>
      <c r="B214" s="14" t="inlineStr">
        <is>
          <t>Borsa Kurul/C-Suite</t>
        </is>
      </c>
      <c r="C214" s="10" t="inlineStr">
        <is>
          <t>Maritime / LNG</t>
        </is>
      </c>
      <c r="D214" s="10" t="inlineStr">
        <is>
          <t>Hani Abuaker</t>
        </is>
      </c>
      <c r="E214" s="10" t="inlineStr">
        <is>
          <t>CFO</t>
        </is>
      </c>
      <c r="F214" s="10" t="inlineStr">
        <is>
          <t>Nakilat</t>
        </is>
      </c>
      <c r="G214" s="10" t="inlineStr">
        <is>
          <t>Katar</t>
        </is>
      </c>
      <c r="H214" s="13" t="inlineStr">
        <is>
          <t>Yüksek (profesyonel)</t>
        </is>
      </c>
      <c r="I214" s="11">
        <f>HYPERLINK("https://www.linkedin.com/search/results/people/?keywords=Hani%20Abuaker%20Nakilat","LinkedIn'de bul")</f>
        <v/>
      </c>
      <c r="J214" s="11">
        <f>HYPERLINK("https://www.nakilat.com","nakilat.com")</f>
        <v/>
      </c>
      <c r="K214" s="10" t="inlineStr"/>
      <c r="L214" s="10" t="inlineStr"/>
      <c r="M214" s="10" t="inlineStr"/>
      <c r="N214" s="10" t="inlineStr"/>
      <c r="O214" s="11">
        <f>HYPERLINK("https://www.nakilat.com/management/","Kaynak")</f>
        <v/>
      </c>
    </row>
    <row r="215" ht="30" customHeight="1">
      <c r="A215" s="8" t="n">
        <v>213</v>
      </c>
      <c r="B215" s="14" t="inlineStr">
        <is>
          <t>Borsa Kurul/C-Suite</t>
        </is>
      </c>
      <c r="C215" s="10" t="inlineStr">
        <is>
          <t>Utilities</t>
        </is>
      </c>
      <c r="D215" s="10" t="inlineStr">
        <is>
          <t>Fahad Hamad Al-Mohannadi</t>
        </is>
      </c>
      <c r="E215" s="10" t="inlineStr">
        <is>
          <t>General Manager</t>
        </is>
      </c>
      <c r="F215" s="10" t="inlineStr">
        <is>
          <t>Qatar Electricity &amp; Water (QEWC)</t>
        </is>
      </c>
      <c r="G215" s="10" t="inlineStr">
        <is>
          <t>Katar</t>
        </is>
      </c>
      <c r="H215" s="13" t="inlineStr">
        <is>
          <t>Yüksek (profesyonel)</t>
        </is>
      </c>
      <c r="I215" s="11">
        <f>HYPERLINK("https://www.linkedin.com/search/results/people/?keywords=Fahad%20Al-Mohannadi%20QEWC","LinkedIn'de bul")</f>
        <v/>
      </c>
      <c r="J215" s="11">
        <f>HYPERLINK("https://www.qewc.com","qewc.com")</f>
        <v/>
      </c>
      <c r="K215" s="10" t="inlineStr"/>
      <c r="L215" s="10" t="inlineStr"/>
      <c r="M215" s="10" t="inlineStr"/>
      <c r="N215" s="10" t="inlineStr"/>
      <c r="O215" s="11">
        <f>HYPERLINK("https://www.qewc.com/qewc/en/about/leadership-management/","Kaynak")</f>
        <v/>
      </c>
    </row>
    <row r="216" ht="30" customHeight="1">
      <c r="A216" s="8" t="n">
        <v>214</v>
      </c>
      <c r="B216" s="14" t="inlineStr">
        <is>
          <t>Borsa Kurul/C-Suite</t>
        </is>
      </c>
      <c r="C216" s="10" t="inlineStr">
        <is>
          <t>Utilities</t>
        </is>
      </c>
      <c r="D216" s="10" t="inlineStr">
        <is>
          <t>Shahzad Gill</t>
        </is>
      </c>
      <c r="E216" s="10" t="inlineStr">
        <is>
          <t>CFO</t>
        </is>
      </c>
      <c r="F216" s="10" t="inlineStr">
        <is>
          <t>Qatar Electricity &amp; Water (QEWC)</t>
        </is>
      </c>
      <c r="G216" s="10" t="inlineStr">
        <is>
          <t>Katar</t>
        </is>
      </c>
      <c r="H216" s="13" t="inlineStr">
        <is>
          <t>Yüksek (profesyonel)</t>
        </is>
      </c>
      <c r="I216" s="11">
        <f>HYPERLINK("https://www.linkedin.com/search/results/people/?keywords=Shahzad%20Gill%20QEWC","LinkedIn'de bul")</f>
        <v/>
      </c>
      <c r="J216" s="11">
        <f>HYPERLINK("https://www.qewc.com","qewc.com")</f>
        <v/>
      </c>
      <c r="K216" s="10" t="inlineStr"/>
      <c r="L216" s="10" t="inlineStr"/>
      <c r="M216" s="10" t="inlineStr"/>
      <c r="N216" s="10" t="inlineStr"/>
      <c r="O216" s="11">
        <f>HYPERLINK("https://www.qewc.com/qewc/en/about/leadership-management/","Kaynak")</f>
        <v/>
      </c>
    </row>
    <row r="217" ht="30" customHeight="1">
      <c r="A217" s="8" t="n">
        <v>215</v>
      </c>
      <c r="B217" s="14" t="inlineStr">
        <is>
          <t>Borsa Kurul/C-Suite</t>
        </is>
      </c>
      <c r="C217" s="10" t="inlineStr">
        <is>
          <t>Maritime / Logistics</t>
        </is>
      </c>
      <c r="D217" s="10" t="inlineStr">
        <is>
          <t>Sheikh Jassim bin Hamad bin Jassim Al Thani</t>
        </is>
      </c>
      <c r="E217" s="10" t="inlineStr">
        <is>
          <t>Chairman</t>
        </is>
      </c>
      <c r="F217" s="10" t="inlineStr">
        <is>
          <t>Qatar Navigation (Milaha)</t>
        </is>
      </c>
      <c r="G217" s="10" t="inlineStr">
        <is>
          <t>Katar</t>
        </is>
      </c>
      <c r="H217" s="10" t="inlineStr">
        <is>
          <t>Düşük (royal/sahip)</t>
        </is>
      </c>
      <c r="I217" s="11">
        <f>HYPERLINK("https://www.linkedin.com/search/results/people/?keywords=Jassim%20bin%20Hamad%20Al%20Thani%20Milaha","LinkedIn'de bul")</f>
        <v/>
      </c>
      <c r="J217" s="11">
        <f>HYPERLINK("https://www.milaha.com","milaha.com")</f>
        <v/>
      </c>
      <c r="K217" s="10" t="inlineStr"/>
      <c r="L217" s="10" t="inlineStr"/>
      <c r="M217" s="10" t="inlineStr"/>
      <c r="N217" s="10" t="inlineStr"/>
      <c r="O217" s="11">
        <f>HYPERLINK("https://www.milaha.com/en/board-directors","Kaynak")</f>
        <v/>
      </c>
    </row>
    <row r="218" ht="30" customHeight="1">
      <c r="A218" s="8" t="n">
        <v>216</v>
      </c>
      <c r="B218" s="14" t="inlineStr">
        <is>
          <t>Borsa Kurul/C-Suite</t>
        </is>
      </c>
      <c r="C218" s="10" t="inlineStr">
        <is>
          <t>Maritime / Logistics</t>
        </is>
      </c>
      <c r="D218" s="10" t="inlineStr">
        <is>
          <t>Fahad Saad Al-Qahtani</t>
        </is>
      </c>
      <c r="E218" s="10" t="inlineStr">
        <is>
          <t>Group CEO</t>
        </is>
      </c>
      <c r="F218" s="10" t="inlineStr">
        <is>
          <t>Qatar Navigation (Milaha)</t>
        </is>
      </c>
      <c r="G218" s="10" t="inlineStr">
        <is>
          <t>Katar</t>
        </is>
      </c>
      <c r="H218" s="13" t="inlineStr">
        <is>
          <t>Yüksek (profesyonel)</t>
        </is>
      </c>
      <c r="I218" s="11">
        <f>HYPERLINK("https://www.linkedin.com/search/results/people/?keywords=Fahad%20Al-Qahtani%20Milaha","LinkedIn'de bul")</f>
        <v/>
      </c>
      <c r="J218" s="11">
        <f>HYPERLINK("https://www.milaha.com","milaha.com")</f>
        <v/>
      </c>
      <c r="K218" s="10" t="inlineStr"/>
      <c r="L218" s="10" t="inlineStr"/>
      <c r="M218" s="10" t="inlineStr"/>
      <c r="N218" s="10" t="inlineStr"/>
      <c r="O218" s="11">
        <f>HYPERLINK("https://www.milaha.com/en/executive-management","Kaynak")</f>
        <v/>
      </c>
    </row>
    <row r="219" ht="30" customHeight="1">
      <c r="A219" s="8" t="n">
        <v>217</v>
      </c>
      <c r="B219" s="14" t="inlineStr">
        <is>
          <t>Borsa Kurul/C-Suite</t>
        </is>
      </c>
      <c r="C219" s="10" t="inlineStr">
        <is>
          <t>Maritime / Logistics</t>
        </is>
      </c>
      <c r="D219" s="10" t="inlineStr">
        <is>
          <t>Akram Bashir Iswaiki</t>
        </is>
      </c>
      <c r="E219" s="10" t="inlineStr">
        <is>
          <t>EVP Finance (Group CFO)</t>
        </is>
      </c>
      <c r="F219" s="10" t="inlineStr">
        <is>
          <t>Qatar Navigation (Milaha)</t>
        </is>
      </c>
      <c r="G219" s="10" t="inlineStr">
        <is>
          <t>Katar</t>
        </is>
      </c>
      <c r="H219" s="13" t="inlineStr">
        <is>
          <t>Yüksek (profesyonel)</t>
        </is>
      </c>
      <c r="I219" s="11">
        <f>HYPERLINK("https://www.linkedin.com/search/results/people/?keywords=Akram%20Iswaiki%20Milaha","LinkedIn'de bul")</f>
        <v/>
      </c>
      <c r="J219" s="11">
        <f>HYPERLINK("https://www.milaha.com","milaha.com")</f>
        <v/>
      </c>
      <c r="K219" s="10" t="inlineStr"/>
      <c r="L219" s="10" t="inlineStr"/>
      <c r="M219" s="10" t="inlineStr"/>
      <c r="N219" s="10" t="inlineStr"/>
      <c r="O219" s="11">
        <f>HYPERLINK("https://www.milaha.com/en/executive-management","Kaynak")</f>
        <v/>
      </c>
    </row>
    <row r="220" ht="30" customHeight="1">
      <c r="A220" s="8" t="n">
        <v>218</v>
      </c>
      <c r="B220" s="14" t="inlineStr">
        <is>
          <t>Borsa Kurul/C-Suite</t>
        </is>
      </c>
      <c r="C220" s="10" t="inlineStr">
        <is>
          <t>Food &amp; Beverage</t>
        </is>
      </c>
      <c r="D220" s="10" t="inlineStr">
        <is>
          <t>Moutaz Al-Khayyat</t>
        </is>
      </c>
      <c r="E220" s="10" t="inlineStr">
        <is>
          <t>Group Chairman</t>
        </is>
      </c>
      <c r="F220" s="10" t="inlineStr">
        <is>
          <t>Baladna</t>
        </is>
      </c>
      <c r="G220" s="10" t="inlineStr">
        <is>
          <t>Katar</t>
        </is>
      </c>
      <c r="H220" s="10" t="inlineStr">
        <is>
          <t>Orta (başkan)</t>
        </is>
      </c>
      <c r="I220" s="11">
        <f>HYPERLINK("https://www.linkedin.com/search/results/people/?keywords=Moutaz%20Al-Khayyat%20Baladna","LinkedIn'de bul")</f>
        <v/>
      </c>
      <c r="J220" s="11">
        <f>HYPERLINK("https://baladna.com","baladna.com")</f>
        <v/>
      </c>
      <c r="K220" s="10" t="inlineStr"/>
      <c r="L220" s="10" t="inlineStr"/>
      <c r="M220" s="10" t="inlineStr"/>
      <c r="N220" s="10" t="inlineStr"/>
      <c r="O220" s="11">
        <f>HYPERLINK("https://baladna.com/en/our-team","Kaynak")</f>
        <v/>
      </c>
    </row>
    <row r="221" ht="30" customHeight="1">
      <c r="A221" s="8" t="n">
        <v>219</v>
      </c>
      <c r="B221" s="14" t="inlineStr">
        <is>
          <t>Borsa Kurul/C-Suite</t>
        </is>
      </c>
      <c r="C221" s="10" t="inlineStr">
        <is>
          <t>Food &amp; Beverage</t>
        </is>
      </c>
      <c r="D221" s="10" t="inlineStr">
        <is>
          <t>Marek Warzywoda</t>
        </is>
      </c>
      <c r="E221" s="10" t="inlineStr">
        <is>
          <t>Group CEO</t>
        </is>
      </c>
      <c r="F221" s="10" t="inlineStr">
        <is>
          <t>Baladna</t>
        </is>
      </c>
      <c r="G221" s="10" t="inlineStr">
        <is>
          <t>Katar</t>
        </is>
      </c>
      <c r="H221" s="13" t="inlineStr">
        <is>
          <t>Yüksek (profesyonel)</t>
        </is>
      </c>
      <c r="I221" s="11">
        <f>HYPERLINK("https://www.linkedin.com/search/results/people/?keywords=Marek%20Warzywoda%20Baladna","LinkedIn'de bul")</f>
        <v/>
      </c>
      <c r="J221" s="11">
        <f>HYPERLINK("https://baladna.com","baladna.com")</f>
        <v/>
      </c>
      <c r="K221" s="10" t="inlineStr"/>
      <c r="L221" s="10" t="inlineStr"/>
      <c r="M221" s="10" t="inlineStr"/>
      <c r="N221" s="10" t="inlineStr"/>
      <c r="O221" s="11">
        <f>HYPERLINK("https://baladna.com/en/our-team","Kaynak")</f>
        <v/>
      </c>
    </row>
    <row r="222" ht="30" customHeight="1">
      <c r="A222" s="8" t="n">
        <v>220</v>
      </c>
      <c r="B222" s="14" t="inlineStr">
        <is>
          <t>Borsa Kurul/C-Suite</t>
        </is>
      </c>
      <c r="C222" s="10" t="inlineStr">
        <is>
          <t>Food &amp; Beverage</t>
        </is>
      </c>
      <c r="D222" s="10" t="inlineStr">
        <is>
          <t>Saifullah Khan</t>
        </is>
      </c>
      <c r="E222" s="10" t="inlineStr">
        <is>
          <t>Group CFO</t>
        </is>
      </c>
      <c r="F222" s="10" t="inlineStr">
        <is>
          <t>Baladna</t>
        </is>
      </c>
      <c r="G222" s="10" t="inlineStr">
        <is>
          <t>Katar</t>
        </is>
      </c>
      <c r="H222" s="13" t="inlineStr">
        <is>
          <t>Yüksek (profesyonel)</t>
        </is>
      </c>
      <c r="I222" s="11">
        <f>HYPERLINK("https://www.linkedin.com/search/results/people/?keywords=Saifullah%20Khan%20Baladna","LinkedIn'de bul")</f>
        <v/>
      </c>
      <c r="J222" s="11">
        <f>HYPERLINK("https://baladna.com","baladna.com")</f>
        <v/>
      </c>
      <c r="K222" s="10" t="inlineStr"/>
      <c r="L222" s="10" t="inlineStr"/>
      <c r="M222" s="10" t="inlineStr"/>
      <c r="N222" s="10" t="inlineStr"/>
      <c r="O222" s="11">
        <f>HYPERLINK("https://baladna.com/en/our-team","Kaynak")</f>
        <v/>
      </c>
    </row>
    <row r="223" ht="30" customHeight="1">
      <c r="A223" s="8" t="n">
        <v>221</v>
      </c>
      <c r="B223" s="14" t="inlineStr">
        <is>
          <t>Borsa Kurul/C-Suite</t>
        </is>
      </c>
      <c r="C223" s="10" t="inlineStr">
        <is>
          <t>Energy</t>
        </is>
      </c>
      <c r="D223" s="10" t="inlineStr">
        <is>
          <t>Ahmad Saif Al-Sulaiti</t>
        </is>
      </c>
      <c r="E223" s="10" t="inlineStr">
        <is>
          <t>Chairman</t>
        </is>
      </c>
      <c r="F223" s="10" t="inlineStr">
        <is>
          <t>Qatar Fuel (Woqod)</t>
        </is>
      </c>
      <c r="G223" s="10" t="inlineStr">
        <is>
          <t>Katar</t>
        </is>
      </c>
      <c r="H223" s="10" t="inlineStr">
        <is>
          <t>Orta (başkan)</t>
        </is>
      </c>
      <c r="I223" s="11">
        <f>HYPERLINK("https://www.linkedin.com/search/results/people/?keywords=Ahmad%20Saif%20Al-Sulaiti%20Woqod","LinkedIn'de bul")</f>
        <v/>
      </c>
      <c r="J223" s="11">
        <f>HYPERLINK("https://www.woqod.com","woqod.com")</f>
        <v/>
      </c>
      <c r="K223" s="10" t="inlineStr"/>
      <c r="L223" s="10" t="inlineStr"/>
      <c r="M223" s="10" t="inlineStr"/>
      <c r="N223" s="10" t="inlineStr"/>
      <c r="O223" s="11">
        <f>HYPERLINK("https://www.woqod.com/website/en/about-us/leadership/detailed/boardmembers","Kaynak")</f>
        <v/>
      </c>
    </row>
    <row r="224" ht="30" customHeight="1">
      <c r="A224" s="8" t="n">
        <v>222</v>
      </c>
      <c r="B224" s="14" t="inlineStr">
        <is>
          <t>Borsa Kurul/C-Suite</t>
        </is>
      </c>
      <c r="C224" s="10" t="inlineStr">
        <is>
          <t>Energy</t>
        </is>
      </c>
      <c r="D224" s="10" t="inlineStr">
        <is>
          <t>Saad Rashid Al-Muhannadi</t>
        </is>
      </c>
      <c r="E224" s="10" t="inlineStr">
        <is>
          <t>CEO &amp; MD</t>
        </is>
      </c>
      <c r="F224" s="10" t="inlineStr">
        <is>
          <t>Qatar Fuel (Woqod)</t>
        </is>
      </c>
      <c r="G224" s="10" t="inlineStr">
        <is>
          <t>Katar</t>
        </is>
      </c>
      <c r="H224" s="13" t="inlineStr">
        <is>
          <t>Yüksek (profesyonel)</t>
        </is>
      </c>
      <c r="I224" s="11">
        <f>HYPERLINK("https://www.linkedin.com/search/results/people/?keywords=Saad%20Al-Muhannadi%20Woqod","LinkedIn'de bul")</f>
        <v/>
      </c>
      <c r="J224" s="11">
        <f>HYPERLINK("https://www.woqod.com","woqod.com")</f>
        <v/>
      </c>
      <c r="K224" s="10" t="inlineStr"/>
      <c r="L224" s="10" t="inlineStr"/>
      <c r="M224" s="10" t="inlineStr"/>
      <c r="N224" s="10" t="inlineStr"/>
      <c r="O224" s="11">
        <f>HYPERLINK("https://www.woqod.com/website/en/about-us/leadership/detailed/executivemanagement","Kaynak")</f>
        <v/>
      </c>
    </row>
    <row r="225" ht="30" customHeight="1">
      <c r="A225" s="8" t="n">
        <v>223</v>
      </c>
      <c r="B225" s="14" t="inlineStr">
        <is>
          <t>Borsa Kurul/C-Suite</t>
        </is>
      </c>
      <c r="C225" s="10" t="inlineStr">
        <is>
          <t>Banking</t>
        </is>
      </c>
      <c r="D225" s="10" t="inlineStr">
        <is>
          <t>Hamad Mohamed Al-Bahar</t>
        </is>
      </c>
      <c r="E225" s="10" t="inlineStr">
        <is>
          <t>Chairman</t>
        </is>
      </c>
      <c r="F225" s="10" t="inlineStr">
        <is>
          <t>National Bank of Kuwait (NBK)</t>
        </is>
      </c>
      <c r="G225" s="10" t="inlineStr">
        <is>
          <t>Kuveyt</t>
        </is>
      </c>
      <c r="H225" s="10" t="inlineStr">
        <is>
          <t>Orta (başkan)</t>
        </is>
      </c>
      <c r="I225" s="11">
        <f>HYPERLINK("https://www.linkedin.com/search/results/people/?keywords=Hamad%20Al-Bahar%20National%20Bank%20of%20Kuwait","LinkedIn'de bul")</f>
        <v/>
      </c>
      <c r="J225" s="11">
        <f>HYPERLINK("https://www.nbk.com","nbk.com")</f>
        <v/>
      </c>
      <c r="K225" s="10" t="inlineStr"/>
      <c r="L225" s="10" t="inlineStr"/>
      <c r="M225" s="10" t="inlineStr"/>
      <c r="N225" s="10" t="inlineStr"/>
      <c r="O225" s="11">
        <f>HYPERLINK("https://www.nbk.com/about-nbk-group/who-we-are.html","Kaynak")</f>
        <v/>
      </c>
    </row>
    <row r="226" ht="30" customHeight="1">
      <c r="A226" s="8" t="n">
        <v>224</v>
      </c>
      <c r="B226" s="14" t="inlineStr">
        <is>
          <t>Borsa Kurul/C-Suite</t>
        </is>
      </c>
      <c r="C226" s="10" t="inlineStr">
        <is>
          <t>Banking</t>
        </is>
      </c>
      <c r="D226" s="10" t="inlineStr">
        <is>
          <t>Isam Jasem Al-Sager</t>
        </is>
      </c>
      <c r="E226" s="10" t="inlineStr">
        <is>
          <t>Vice-Chairman &amp; Group CEO</t>
        </is>
      </c>
      <c r="F226" s="10" t="inlineStr">
        <is>
          <t>National Bank of Kuwait (NBK)</t>
        </is>
      </c>
      <c r="G226" s="10" t="inlineStr">
        <is>
          <t>Kuveyt</t>
        </is>
      </c>
      <c r="H226" s="13" t="inlineStr">
        <is>
          <t>Yüksek (profesyonel)</t>
        </is>
      </c>
      <c r="I226" s="11">
        <f>HYPERLINK("https://www.linkedin.com/search/results/people/?keywords=Isam%20Al-Sager%20National%20Bank%20of%20Kuwait","LinkedIn'de bul")</f>
        <v/>
      </c>
      <c r="J226" s="11">
        <f>HYPERLINK("https://www.nbk.com","nbk.com")</f>
        <v/>
      </c>
      <c r="K226" s="10" t="inlineStr"/>
      <c r="L226" s="10" t="inlineStr"/>
      <c r="M226" s="10" t="inlineStr"/>
      <c r="N226" s="10" t="inlineStr"/>
      <c r="O226" s="11">
        <f>HYPERLINK("https://www.nbk.com/about-nbk-group/who-we-are.html","Kaynak")</f>
        <v/>
      </c>
    </row>
    <row r="227" ht="30" customHeight="1">
      <c r="A227" s="8" t="n">
        <v>225</v>
      </c>
      <c r="B227" s="14" t="inlineStr">
        <is>
          <t>Borsa Kurul/C-Suite</t>
        </is>
      </c>
      <c r="C227" s="10" t="inlineStr">
        <is>
          <t>Banking</t>
        </is>
      </c>
      <c r="D227" s="10" t="inlineStr">
        <is>
          <t>Sujit Ronghe</t>
        </is>
      </c>
      <c r="E227" s="10" t="inlineStr">
        <is>
          <t>Group CFO</t>
        </is>
      </c>
      <c r="F227" s="10" t="inlineStr">
        <is>
          <t>National Bank of Kuwait (NBK)</t>
        </is>
      </c>
      <c r="G227" s="10" t="inlineStr">
        <is>
          <t>Kuveyt</t>
        </is>
      </c>
      <c r="H227" s="13" t="inlineStr">
        <is>
          <t>Yüksek (profesyonel)</t>
        </is>
      </c>
      <c r="I227" s="11">
        <f>HYPERLINK("https://www.linkedin.com/search/results/people/?keywords=Sujit%20Ronghe%20National%20Bank%20of%20Kuwait","LinkedIn'de bul")</f>
        <v/>
      </c>
      <c r="J227" s="11">
        <f>HYPERLINK("https://www.nbk.com","nbk.com")</f>
        <v/>
      </c>
      <c r="K227" s="10" t="inlineStr"/>
      <c r="L227" s="10" t="inlineStr"/>
      <c r="M227" s="10" t="inlineStr"/>
      <c r="N227" s="10" t="inlineStr"/>
      <c r="O227" s="11">
        <f>HYPERLINK("https://www.nbk.com/about-nbk-group/who-we-are.html","Kaynak")</f>
        <v/>
      </c>
    </row>
    <row r="228" ht="30" customHeight="1">
      <c r="A228" s="8" t="n">
        <v>226</v>
      </c>
      <c r="B228" s="14" t="inlineStr">
        <is>
          <t>Borsa Kurul/C-Suite</t>
        </is>
      </c>
      <c r="C228" s="10" t="inlineStr">
        <is>
          <t>Islamic Banking</t>
        </is>
      </c>
      <c r="D228" s="10" t="inlineStr">
        <is>
          <t>Hamad Abdulmohsen Al-Marzouq</t>
        </is>
      </c>
      <c r="E228" s="10" t="inlineStr">
        <is>
          <t>Chairman</t>
        </is>
      </c>
      <c r="F228" s="10" t="inlineStr">
        <is>
          <t>Kuwait Finance House (KFH)</t>
        </is>
      </c>
      <c r="G228" s="10" t="inlineStr">
        <is>
          <t>Kuveyt</t>
        </is>
      </c>
      <c r="H228" s="10" t="inlineStr">
        <is>
          <t>Orta (başkan)</t>
        </is>
      </c>
      <c r="I228" s="11">
        <f>HYPERLINK("https://www.linkedin.com/search/results/people/?keywords=Hamad%20Al-Marzouq%20Kuwait%20Finance%20House","LinkedIn'de bul")</f>
        <v/>
      </c>
      <c r="J228" s="11">
        <f>HYPERLINK("https://www.kfh.com","kfh.com")</f>
        <v/>
      </c>
      <c r="K228" s="10" t="inlineStr"/>
      <c r="L228" s="10" t="inlineStr"/>
      <c r="M228" s="10" t="inlineStr"/>
      <c r="N228" s="10" t="inlineStr"/>
      <c r="O228" s="11">
        <f>HYPERLINK("https://www.kfh.com/en/home/Personal/aboutus/Islamic-Banking-Pioneers.html","Kaynak")</f>
        <v/>
      </c>
    </row>
    <row r="229" ht="30" customHeight="1">
      <c r="A229" s="8" t="n">
        <v>227</v>
      </c>
      <c r="B229" s="14" t="inlineStr">
        <is>
          <t>Borsa Kurul/C-Suite</t>
        </is>
      </c>
      <c r="C229" s="10" t="inlineStr">
        <is>
          <t>Islamic Banking</t>
        </is>
      </c>
      <c r="D229" s="10" t="inlineStr">
        <is>
          <t>Khaled Yousef Al-Shamlan</t>
        </is>
      </c>
      <c r="E229" s="10" t="inlineStr">
        <is>
          <t>Group CEO</t>
        </is>
      </c>
      <c r="F229" s="10" t="inlineStr">
        <is>
          <t>Kuwait Finance House (KFH)</t>
        </is>
      </c>
      <c r="G229" s="10" t="inlineStr">
        <is>
          <t>Kuveyt</t>
        </is>
      </c>
      <c r="H229" s="13" t="inlineStr">
        <is>
          <t>Yüksek (profesyonel)</t>
        </is>
      </c>
      <c r="I229" s="11">
        <f>HYPERLINK("https://www.linkedin.com/search/results/people/?keywords=Khaled%20Al-Shamlan%20Kuwait%20Finance%20House","LinkedIn'de bul")</f>
        <v/>
      </c>
      <c r="J229" s="11">
        <f>HYPERLINK("https://www.kfh.com","kfh.com")</f>
        <v/>
      </c>
      <c r="K229" s="10" t="inlineStr"/>
      <c r="L229" s="10" t="inlineStr"/>
      <c r="M229" s="10" t="inlineStr"/>
      <c r="N229" s="10" t="inlineStr"/>
      <c r="O229" s="11">
        <f>HYPERLINK("https://www.kfh.com/en/home/Personal/news/2025/KFH-Appoints-Khaled-AlShamlan-as-KFH-Group-CEO.html","Kaynak")</f>
        <v/>
      </c>
    </row>
    <row r="230" ht="30" customHeight="1">
      <c r="A230" s="8" t="n">
        <v>228</v>
      </c>
      <c r="B230" s="14" t="inlineStr">
        <is>
          <t>Borsa Kurul/C-Suite</t>
        </is>
      </c>
      <c r="C230" s="10" t="inlineStr">
        <is>
          <t>Islamic Banking</t>
        </is>
      </c>
      <c r="D230" s="10" t="inlineStr">
        <is>
          <t>Abdulkarim Abdullah Al-Samdan</t>
        </is>
      </c>
      <c r="E230" s="10" t="inlineStr">
        <is>
          <t>Group CFO</t>
        </is>
      </c>
      <c r="F230" s="10" t="inlineStr">
        <is>
          <t>Kuwait Finance House (KFH)</t>
        </is>
      </c>
      <c r="G230" s="10" t="inlineStr">
        <is>
          <t>Kuveyt</t>
        </is>
      </c>
      <c r="H230" s="13" t="inlineStr">
        <is>
          <t>Yüksek (profesyonel)</t>
        </is>
      </c>
      <c r="I230" s="11">
        <f>HYPERLINK("https://www.linkedin.com/search/results/people/?keywords=Abdulkarim%20Al-Samdan%20Kuwait%20Finance%20House","LinkedIn'de bul")</f>
        <v/>
      </c>
      <c r="J230" s="11">
        <f>HYPERLINK("https://www.kfh.com","kfh.com")</f>
        <v/>
      </c>
      <c r="K230" s="10" t="inlineStr"/>
      <c r="L230" s="10" t="inlineStr"/>
      <c r="M230" s="10" t="inlineStr"/>
      <c r="N230" s="10" t="inlineStr"/>
      <c r="O230" s="11">
        <f>HYPERLINK("https://www.kfh.com/en/home/Personal/aboutus/Islamic-Banking-Pioneers.html","Kaynak")</f>
        <v/>
      </c>
    </row>
    <row r="231" ht="30" customHeight="1">
      <c r="A231" s="8" t="n">
        <v>229</v>
      </c>
      <c r="B231" s="14" t="inlineStr">
        <is>
          <t>Borsa Kurul/C-Suite</t>
        </is>
      </c>
      <c r="C231" s="10" t="inlineStr">
        <is>
          <t>Banking</t>
        </is>
      </c>
      <c r="D231" s="10" t="inlineStr">
        <is>
          <t>Ahmad Mohammad Al-Bahar</t>
        </is>
      </c>
      <c r="E231" s="10" t="inlineStr">
        <is>
          <t>Chairman</t>
        </is>
      </c>
      <c r="F231" s="10" t="inlineStr">
        <is>
          <t>Gulf Bank</t>
        </is>
      </c>
      <c r="G231" s="10" t="inlineStr">
        <is>
          <t>Kuveyt</t>
        </is>
      </c>
      <c r="H231" s="10" t="inlineStr">
        <is>
          <t>Orta (başkan)</t>
        </is>
      </c>
      <c r="I231" s="11">
        <f>HYPERLINK("https://www.linkedin.com/search/results/people/?keywords=Ahmad%20Al-Bahar%20Gulf%20Bank%20Kuwait","LinkedIn'de bul")</f>
        <v/>
      </c>
      <c r="J231" s="11">
        <f>HYPERLINK("https://www.e-gulfbank.com","e-gulfbank.com")</f>
        <v/>
      </c>
      <c r="K231" s="10" t="inlineStr"/>
      <c r="L231" s="10" t="inlineStr"/>
      <c r="M231" s="10" t="inlineStr"/>
      <c r="N231" s="10" t="inlineStr"/>
      <c r="O231" s="11">
        <f>HYPERLINK("https://www.e-gulfbank.com/en/about-us/media/press-releases/2025/01/ahmad-mohammad-al-bahar-appointed-chairman-of-gulf-banks-board-of-directors/","Kaynak")</f>
        <v/>
      </c>
    </row>
    <row r="232" ht="30" customHeight="1">
      <c r="A232" s="8" t="n">
        <v>230</v>
      </c>
      <c r="B232" s="14" t="inlineStr">
        <is>
          <t>Borsa Kurul/C-Suite</t>
        </is>
      </c>
      <c r="C232" s="10" t="inlineStr">
        <is>
          <t>Banking</t>
        </is>
      </c>
      <c r="D232" s="10" t="inlineStr">
        <is>
          <t>Waleed Khaled Mandani</t>
        </is>
      </c>
      <c r="E232" s="10" t="inlineStr">
        <is>
          <t>Acting CEO</t>
        </is>
      </c>
      <c r="F232" s="10" t="inlineStr">
        <is>
          <t>Gulf Bank</t>
        </is>
      </c>
      <c r="G232" s="10" t="inlineStr">
        <is>
          <t>Kuveyt</t>
        </is>
      </c>
      <c r="H232" s="13" t="inlineStr">
        <is>
          <t>Yüksek (profesyonel)</t>
        </is>
      </c>
      <c r="I232" s="11">
        <f>HYPERLINK("https://www.linkedin.com/search/results/people/?keywords=Waleed%20Mandani%20Gulf%20Bank%20Kuwait","LinkedIn'de bul")</f>
        <v/>
      </c>
      <c r="J232" s="11">
        <f>HYPERLINK("https://www.e-gulfbank.com","e-gulfbank.com")</f>
        <v/>
      </c>
      <c r="K232" s="10" t="inlineStr"/>
      <c r="L232" s="10" t="inlineStr"/>
      <c r="M232" s="10" t="inlineStr"/>
      <c r="N232" s="10" t="inlineStr"/>
      <c r="O232" s="11">
        <f>HYPERLINK("https://www.e-gulfbank.com/en/about-us/executives/executive-management/","Kaynak")</f>
        <v/>
      </c>
    </row>
    <row r="233" ht="30" customHeight="1">
      <c r="A233" s="8" t="n">
        <v>231</v>
      </c>
      <c r="B233" s="14" t="inlineStr">
        <is>
          <t>Borsa Kurul/C-Suite</t>
        </is>
      </c>
      <c r="C233" s="10" t="inlineStr">
        <is>
          <t>Banking</t>
        </is>
      </c>
      <c r="D233" s="10" t="inlineStr">
        <is>
          <t>David Challinor</t>
        </is>
      </c>
      <c r="E233" s="10" t="inlineStr">
        <is>
          <t>CFO</t>
        </is>
      </c>
      <c r="F233" s="10" t="inlineStr">
        <is>
          <t>Gulf Bank</t>
        </is>
      </c>
      <c r="G233" s="10" t="inlineStr">
        <is>
          <t>Kuveyt</t>
        </is>
      </c>
      <c r="H233" s="13" t="inlineStr">
        <is>
          <t>Yüksek (profesyonel)</t>
        </is>
      </c>
      <c r="I233" s="11">
        <f>HYPERLINK("https://www.linkedin.com/search/results/people/?keywords=David%20Challinor%20Gulf%20Bank%20Kuwait","LinkedIn'de bul")</f>
        <v/>
      </c>
      <c r="J233" s="11">
        <f>HYPERLINK("https://www.e-gulfbank.com","e-gulfbank.com")</f>
        <v/>
      </c>
      <c r="K233" s="10" t="inlineStr"/>
      <c r="L233" s="10" t="inlineStr"/>
      <c r="M233" s="10" t="inlineStr"/>
      <c r="N233" s="10" t="inlineStr"/>
      <c r="O233" s="11">
        <f>HYPERLINK("https://www.e-gulfbank.com/en/about-us/executives/executive-management/","Kaynak")</f>
        <v/>
      </c>
    </row>
    <row r="234" ht="30" customHeight="1">
      <c r="A234" s="8" t="n">
        <v>232</v>
      </c>
      <c r="B234" s="14" t="inlineStr">
        <is>
          <t>Borsa Kurul/C-Suite</t>
        </is>
      </c>
      <c r="C234" s="10" t="inlineStr">
        <is>
          <t>Islamic Banking</t>
        </is>
      </c>
      <c r="D234" s="10" t="inlineStr">
        <is>
          <t>Abdulaziz Abdullah Dakheel Al-Shaya</t>
        </is>
      </c>
      <c r="E234" s="10" t="inlineStr">
        <is>
          <t>Chairman</t>
        </is>
      </c>
      <c r="F234" s="10" t="inlineStr">
        <is>
          <t>Boubyan Bank</t>
        </is>
      </c>
      <c r="G234" s="10" t="inlineStr">
        <is>
          <t>Kuveyt</t>
        </is>
      </c>
      <c r="H234" s="10" t="inlineStr">
        <is>
          <t>Orta (başkan)</t>
        </is>
      </c>
      <c r="I234" s="11">
        <f>HYPERLINK("https://www.linkedin.com/search/results/people/?keywords=Abdulaziz%20Al-Shaya%20Boubyan%20Bank","LinkedIn'de bul")</f>
        <v/>
      </c>
      <c r="J234" s="11">
        <f>HYPERLINK("https://www.bankboubyan.com","bankboubyan.com")</f>
        <v/>
      </c>
      <c r="K234" s="10" t="inlineStr"/>
      <c r="L234" s="10" t="inlineStr"/>
      <c r="M234" s="10" t="inlineStr"/>
      <c r="N234" s="10" t="inlineStr"/>
      <c r="O234" s="11">
        <f>HYPERLINK("https://www.bankboubyan.com/en/who-we-are/board-of-directors","Kaynak")</f>
        <v/>
      </c>
    </row>
    <row r="235" ht="30" customHeight="1">
      <c r="A235" s="8" t="n">
        <v>233</v>
      </c>
      <c r="B235" s="14" t="inlineStr">
        <is>
          <t>Borsa Kurul/C-Suite</t>
        </is>
      </c>
      <c r="C235" s="10" t="inlineStr">
        <is>
          <t>Islamic Banking</t>
        </is>
      </c>
      <c r="D235" s="10" t="inlineStr">
        <is>
          <t>Adel Abdul Wahab Al-Majed</t>
        </is>
      </c>
      <c r="E235" s="10" t="inlineStr">
        <is>
          <t>Vice-Chairman &amp; Group CEO</t>
        </is>
      </c>
      <c r="F235" s="10" t="inlineStr">
        <is>
          <t>Boubyan Bank</t>
        </is>
      </c>
      <c r="G235" s="10" t="inlineStr">
        <is>
          <t>Kuveyt</t>
        </is>
      </c>
      <c r="H235" s="13" t="inlineStr">
        <is>
          <t>Yüksek (profesyonel)</t>
        </is>
      </c>
      <c r="I235" s="11">
        <f>HYPERLINK("https://www.linkedin.com/search/results/people/?keywords=Adel%20Al-Majed%20Boubyan%20Bank","LinkedIn'de bul")</f>
        <v/>
      </c>
      <c r="J235" s="11">
        <f>HYPERLINK("https://www.bankboubyan.com","bankboubyan.com")</f>
        <v/>
      </c>
      <c r="K235" s="10" t="inlineStr"/>
      <c r="L235" s="10" t="inlineStr"/>
      <c r="M235" s="10" t="inlineStr"/>
      <c r="N235" s="10" t="inlineStr"/>
      <c r="O235" s="11">
        <f>HYPERLINK("https://www.bankboubyan.com/en/who-we-are/board-of-directors","Kaynak")</f>
        <v/>
      </c>
    </row>
    <row r="236" ht="30" customHeight="1">
      <c r="A236" s="8" t="n">
        <v>234</v>
      </c>
      <c r="B236" s="14" t="inlineStr">
        <is>
          <t>Borsa Kurul/C-Suite</t>
        </is>
      </c>
      <c r="C236" s="10" t="inlineStr">
        <is>
          <t>Islamic Banking</t>
        </is>
      </c>
      <c r="D236" s="10" t="inlineStr">
        <is>
          <t>Mohamed Ibrahim Ismail</t>
        </is>
      </c>
      <c r="E236" s="10" t="inlineStr">
        <is>
          <t>Group CFO</t>
        </is>
      </c>
      <c r="F236" s="10" t="inlineStr">
        <is>
          <t>Boubyan Bank</t>
        </is>
      </c>
      <c r="G236" s="10" t="inlineStr">
        <is>
          <t>Kuveyt</t>
        </is>
      </c>
      <c r="H236" s="13" t="inlineStr">
        <is>
          <t>Yüksek (profesyonel)</t>
        </is>
      </c>
      <c r="I236" s="11">
        <f>HYPERLINK("https://www.linkedin.com/search/results/people/?keywords=Mohamed%20Ibrahim%20Ismail%20Boubyan%20Bank","LinkedIn'de bul")</f>
        <v/>
      </c>
      <c r="J236" s="11">
        <f>HYPERLINK("https://www.bankboubyan.com","bankboubyan.com")</f>
        <v/>
      </c>
      <c r="K236" s="10" t="inlineStr"/>
      <c r="L236" s="10" t="inlineStr"/>
      <c r="M236" s="10" t="inlineStr"/>
      <c r="N236" s="10" t="inlineStr"/>
      <c r="O236" s="11">
        <f>HYPERLINK("https://www.bankboubyan.com/en/who-we-are/executive-management","Kaynak")</f>
        <v/>
      </c>
    </row>
    <row r="237" ht="30" customHeight="1">
      <c r="A237" s="8" t="n">
        <v>235</v>
      </c>
      <c r="B237" s="14" t="inlineStr">
        <is>
          <t>Borsa Kurul/C-Suite</t>
        </is>
      </c>
      <c r="C237" s="10" t="inlineStr">
        <is>
          <t>Banking</t>
        </is>
      </c>
      <c r="D237" s="10" t="inlineStr">
        <is>
          <t>Fadel Mahmoud Abdullah</t>
        </is>
      </c>
      <c r="E237" s="10" t="inlineStr">
        <is>
          <t>Group CEO</t>
        </is>
      </c>
      <c r="F237" s="10" t="inlineStr">
        <is>
          <t>Burgan Bank</t>
        </is>
      </c>
      <c r="G237" s="10" t="inlineStr">
        <is>
          <t>Kuveyt</t>
        </is>
      </c>
      <c r="H237" s="13" t="inlineStr">
        <is>
          <t>Yüksek (profesyonel)</t>
        </is>
      </c>
      <c r="I237" s="11">
        <f>HYPERLINK("https://www.linkedin.com/search/results/people/?keywords=Fadel%20Abdullah%20Burgan%20Bank","LinkedIn'de bul")</f>
        <v/>
      </c>
      <c r="J237" s="11">
        <f>HYPERLINK("https://www.burgan.com","burgan.com")</f>
        <v/>
      </c>
      <c r="K237" s="10" t="inlineStr"/>
      <c r="L237" s="10" t="inlineStr"/>
      <c r="M237" s="10" t="inlineStr"/>
      <c r="N237" s="10" t="inlineStr"/>
      <c r="O237" s="11">
        <f>HYPERLINK("https://www.zawya.com/en/business/banking-and-insurance/fadel-abdullah-appointed-burgan-banks-ceo-kuwait-ujww1dxg","Kaynak")</f>
        <v/>
      </c>
    </row>
    <row r="238" ht="30" customHeight="1">
      <c r="A238" s="8" t="n">
        <v>236</v>
      </c>
      <c r="B238" s="14" t="inlineStr">
        <is>
          <t>Borsa Kurul/C-Suite</t>
        </is>
      </c>
      <c r="C238" s="10" t="inlineStr">
        <is>
          <t>Banking</t>
        </is>
      </c>
      <c r="D238" s="10" t="inlineStr">
        <is>
          <t>Khalid Fahed Al-Zouman</t>
        </is>
      </c>
      <c r="E238" s="10" t="inlineStr">
        <is>
          <t>CFO</t>
        </is>
      </c>
      <c r="F238" s="10" t="inlineStr">
        <is>
          <t>Burgan Bank</t>
        </is>
      </c>
      <c r="G238" s="10" t="inlineStr">
        <is>
          <t>Kuveyt</t>
        </is>
      </c>
      <c r="H238" s="13" t="inlineStr">
        <is>
          <t>Yüksek (profesyonel)</t>
        </is>
      </c>
      <c r="I238" s="11">
        <f>HYPERLINK("https://www.linkedin.com/search/results/people/?keywords=Khalid%20Al-Zouman%20Burgan%20Bank","LinkedIn'de bul")</f>
        <v/>
      </c>
      <c r="J238" s="11">
        <f>HYPERLINK("https://www.burgan.com","burgan.com")</f>
        <v/>
      </c>
      <c r="K238" s="10" t="inlineStr"/>
      <c r="L238" s="10" t="inlineStr"/>
      <c r="M238" s="10" t="inlineStr"/>
      <c r="N238" s="10" t="inlineStr"/>
      <c r="O238" s="11">
        <f>HYPERLINK("https://www.marketscreener.com/quote/stock/BURGAN-BANK-K-P-S-C-6493132/company-governance/","Kaynak")</f>
        <v/>
      </c>
    </row>
    <row r="239" ht="30" customHeight="1">
      <c r="A239" s="8" t="n">
        <v>237</v>
      </c>
      <c r="B239" s="14" t="inlineStr">
        <is>
          <t>Borsa Kurul/C-Suite</t>
        </is>
      </c>
      <c r="C239" s="10" t="inlineStr">
        <is>
          <t>Islamic Banking</t>
        </is>
      </c>
      <c r="D239" s="10" t="inlineStr">
        <is>
          <t>Shaheen Hamad Al-Ghanem</t>
        </is>
      </c>
      <c r="E239" s="10" t="inlineStr">
        <is>
          <t>CEO</t>
        </is>
      </c>
      <c r="F239" s="10" t="inlineStr">
        <is>
          <t>Warba Bank</t>
        </is>
      </c>
      <c r="G239" s="10" t="inlineStr">
        <is>
          <t>Kuveyt</t>
        </is>
      </c>
      <c r="H239" s="13" t="inlineStr">
        <is>
          <t>Yüksek (profesyonel)</t>
        </is>
      </c>
      <c r="I239" s="11">
        <f>HYPERLINK("https://www.linkedin.com/search/results/people/?keywords=Shaheen%20Al-Ghanem%20Warba%20Bank","LinkedIn'de bul")</f>
        <v/>
      </c>
      <c r="J239" s="11">
        <f>HYPERLINK("https://www.warbabank.com","warbabank.com")</f>
        <v/>
      </c>
      <c r="K239" s="10" t="inlineStr"/>
      <c r="L239" s="10" t="inlineStr"/>
      <c r="M239" s="10" t="inlineStr"/>
      <c r="N239" s="10" t="inlineStr"/>
      <c r="O239" s="11">
        <f>HYPERLINK("https://www.warbabank.com/english/annual-reports/home/the-corporate-governance-report/the-executive-management","Kaynak")</f>
        <v/>
      </c>
    </row>
    <row r="240" ht="30" customHeight="1">
      <c r="A240" s="8" t="n">
        <v>238</v>
      </c>
      <c r="B240" s="14" t="inlineStr">
        <is>
          <t>Borsa Kurul/C-Suite</t>
        </is>
      </c>
      <c r="C240" s="10" t="inlineStr">
        <is>
          <t>Telecom</t>
        </is>
      </c>
      <c r="D240" s="10" t="inlineStr">
        <is>
          <t>Nour Nael Ahmed Al-Jassim</t>
        </is>
      </c>
      <c r="E240" s="10" t="inlineStr">
        <is>
          <t>Chair of the Board</t>
        </is>
      </c>
      <c r="F240" s="10" t="inlineStr">
        <is>
          <t>Zain Group</t>
        </is>
      </c>
      <c r="G240" s="10" t="inlineStr">
        <is>
          <t>Kuveyt</t>
        </is>
      </c>
      <c r="H240" s="10" t="inlineStr">
        <is>
          <t>Orta (başkan)</t>
        </is>
      </c>
      <c r="I240" s="11">
        <f>HYPERLINK("https://www.linkedin.com/search/results/people/?keywords=Nour%20Al-Jassim%20Zain%20Group","LinkedIn'de bul")</f>
        <v/>
      </c>
      <c r="J240" s="11">
        <f>HYPERLINK("https://www.zain.com","zain.com")</f>
        <v/>
      </c>
      <c r="K240" s="10" t="inlineStr"/>
      <c r="L240" s="10" t="inlineStr"/>
      <c r="M240" s="10" t="inlineStr"/>
      <c r="N240" s="10" t="inlineStr"/>
      <c r="O240" s="11">
        <f>HYPERLINK("https://www.marketscreener.com/news/zain-group-appoints-nour-nael-ahmed-al-jassim-as-chair-ce7e50ded080f127","Kaynak")</f>
        <v/>
      </c>
    </row>
    <row r="241" ht="30" customHeight="1">
      <c r="A241" s="8" t="n">
        <v>239</v>
      </c>
      <c r="B241" s="14" t="inlineStr">
        <is>
          <t>Borsa Kurul/C-Suite</t>
        </is>
      </c>
      <c r="C241" s="10" t="inlineStr">
        <is>
          <t>Telecom</t>
        </is>
      </c>
      <c r="D241" s="10" t="inlineStr">
        <is>
          <t>Ossama Matta</t>
        </is>
      </c>
      <c r="E241" s="10" t="inlineStr">
        <is>
          <t>Group CFO</t>
        </is>
      </c>
      <c r="F241" s="10" t="inlineStr">
        <is>
          <t>Zain Group</t>
        </is>
      </c>
      <c r="G241" s="10" t="inlineStr">
        <is>
          <t>Kuveyt</t>
        </is>
      </c>
      <c r="H241" s="13" t="inlineStr">
        <is>
          <t>Yüksek (profesyonel)</t>
        </is>
      </c>
      <c r="I241" s="11">
        <f>HYPERLINK("https://www.linkedin.com/search/results/people/?keywords=Ossama%20Matta%20Zain%20Group","LinkedIn'de bul")</f>
        <v/>
      </c>
      <c r="J241" s="11">
        <f>HYPERLINK("https://www.zain.com","zain.com")</f>
        <v/>
      </c>
      <c r="K241" s="10" t="inlineStr"/>
      <c r="L241" s="10" t="inlineStr"/>
      <c r="M241" s="10" t="inlineStr"/>
      <c r="N241" s="10" t="inlineStr"/>
      <c r="O241" s="11">
        <f>HYPERLINK("https://zain.com/en/press/zain-group-announces-senior-management-changes-and","Kaynak")</f>
        <v/>
      </c>
    </row>
    <row r="242" ht="30" customHeight="1">
      <c r="A242" s="8" t="n">
        <v>240</v>
      </c>
      <c r="B242" s="14" t="inlineStr">
        <is>
          <t>Borsa Kurul/C-Suite</t>
        </is>
      </c>
      <c r="C242" s="10" t="inlineStr">
        <is>
          <t>Logistics</t>
        </is>
      </c>
      <c r="D242" s="10" t="inlineStr">
        <is>
          <t>Tarek Sultan Al-Essa</t>
        </is>
      </c>
      <c r="E242" s="10" t="inlineStr">
        <is>
          <t>Chairman</t>
        </is>
      </c>
      <c r="F242" s="10" t="inlineStr">
        <is>
          <t>Agility</t>
        </is>
      </c>
      <c r="G242" s="10" t="inlineStr">
        <is>
          <t>Kuveyt</t>
        </is>
      </c>
      <c r="H242" s="10" t="inlineStr">
        <is>
          <t>Orta (başkan)</t>
        </is>
      </c>
      <c r="I242" s="11">
        <f>HYPERLINK("https://www.linkedin.com/search/results/people/?keywords=Tarek%20Sultan%20Agility","LinkedIn'de bul")</f>
        <v/>
      </c>
      <c r="J242" s="11">
        <f>HYPERLINK("https://www.agility.com","agility.com")</f>
        <v/>
      </c>
      <c r="K242" s="10" t="inlineStr"/>
      <c r="L242" s="10" t="inlineStr"/>
      <c r="M242" s="10" t="inlineStr"/>
      <c r="N242" s="10" t="inlineStr"/>
      <c r="O242" s="11">
        <f>HYPERLINK("https://agility.com/about-us/leadership/","Kaynak")</f>
        <v/>
      </c>
    </row>
    <row r="243" ht="30" customHeight="1">
      <c r="A243" s="8" t="n">
        <v>241</v>
      </c>
      <c r="B243" s="14" t="inlineStr">
        <is>
          <t>Borsa Kurul/C-Suite</t>
        </is>
      </c>
      <c r="C243" s="10" t="inlineStr">
        <is>
          <t>Logistics</t>
        </is>
      </c>
      <c r="D243" s="10" t="inlineStr">
        <is>
          <t>Henadi Al-Saleh</t>
        </is>
      </c>
      <c r="E243" s="10" t="inlineStr">
        <is>
          <t>CEO &amp; Board Member</t>
        </is>
      </c>
      <c r="F243" s="10" t="inlineStr">
        <is>
          <t>Agility</t>
        </is>
      </c>
      <c r="G243" s="10" t="inlineStr">
        <is>
          <t>Kuveyt</t>
        </is>
      </c>
      <c r="H243" s="13" t="inlineStr">
        <is>
          <t>Yüksek (profesyonel)</t>
        </is>
      </c>
      <c r="I243" s="11">
        <f>HYPERLINK("https://www.linkedin.com/search/results/people/?keywords=Henadi%20Al-Saleh%20Agility","LinkedIn'de bul")</f>
        <v/>
      </c>
      <c r="J243" s="11">
        <f>HYPERLINK("https://www.agility.com","agility.com")</f>
        <v/>
      </c>
      <c r="K243" s="10" t="inlineStr"/>
      <c r="L243" s="10" t="inlineStr"/>
      <c r="M243" s="10" t="inlineStr"/>
      <c r="N243" s="10" t="inlineStr"/>
      <c r="O243" s="11">
        <f>HYPERLINK("https://agility.com/about-us/leadership/","Kaynak")</f>
        <v/>
      </c>
    </row>
    <row r="244" ht="30" customHeight="1">
      <c r="A244" s="8" t="n">
        <v>242</v>
      </c>
      <c r="B244" s="14" t="inlineStr">
        <is>
          <t>Borsa Kurul/C-Suite</t>
        </is>
      </c>
      <c r="C244" s="10" t="inlineStr">
        <is>
          <t>Logistics</t>
        </is>
      </c>
      <c r="D244" s="10" t="inlineStr">
        <is>
          <t>Ehab Aziz</t>
        </is>
      </c>
      <c r="E244" s="10" t="inlineStr">
        <is>
          <t>CFO</t>
        </is>
      </c>
      <c r="F244" s="10" t="inlineStr">
        <is>
          <t>Agility</t>
        </is>
      </c>
      <c r="G244" s="10" t="inlineStr">
        <is>
          <t>Kuveyt</t>
        </is>
      </c>
      <c r="H244" s="13" t="inlineStr">
        <is>
          <t>Yüksek (profesyonel)</t>
        </is>
      </c>
      <c r="I244" s="11">
        <f>HYPERLINK("https://www.linkedin.com/search/results/people/?keywords=Ehab%20Aziz%20Agility","LinkedIn'de bul")</f>
        <v/>
      </c>
      <c r="J244" s="11">
        <f>HYPERLINK("https://www.agility.com","agility.com")</f>
        <v/>
      </c>
      <c r="K244" s="10" t="inlineStr"/>
      <c r="L244" s="10" t="inlineStr"/>
      <c r="M244" s="10" t="inlineStr"/>
      <c r="N244" s="10" t="inlineStr"/>
      <c r="O244" s="11">
        <f>HYPERLINK("https://agility.com/about-us/leadership/","Kaynak")</f>
        <v/>
      </c>
    </row>
    <row r="245" ht="30" customHeight="1">
      <c r="A245" s="8" t="n">
        <v>243</v>
      </c>
      <c r="B245" s="14" t="inlineStr">
        <is>
          <t>Borsa Kurul/C-Suite</t>
        </is>
      </c>
      <c r="C245" s="10" t="inlineStr">
        <is>
          <t>Education / Holding</t>
        </is>
      </c>
      <c r="D245" s="10" t="inlineStr">
        <is>
          <t>Tareq Fahad Al-Othman</t>
        </is>
      </c>
      <c r="E245" s="10" t="inlineStr">
        <is>
          <t>Chairman</t>
        </is>
      </c>
      <c r="F245" s="10" t="inlineStr">
        <is>
          <t>Humansoft Holding</t>
        </is>
      </c>
      <c r="G245" s="10" t="inlineStr">
        <is>
          <t>Kuveyt</t>
        </is>
      </c>
      <c r="H245" s="10" t="inlineStr">
        <is>
          <t>Orta (başkan)</t>
        </is>
      </c>
      <c r="I245" s="11">
        <f>HYPERLINK("https://www.linkedin.com/search/results/people/?keywords=Tareq%20Al-Othman%20Humansoft","LinkedIn'de bul")</f>
        <v/>
      </c>
      <c r="J245" s="11">
        <f>HYPERLINK("https://www.human-soft.com","human-soft.com")</f>
        <v/>
      </c>
      <c r="K245" s="10" t="inlineStr"/>
      <c r="L245" s="10" t="inlineStr"/>
      <c r="M245" s="10" t="inlineStr"/>
      <c r="N245" s="10" t="inlineStr"/>
      <c r="O245" s="11">
        <f>HYPERLINK("https://www.human-soft.com/governance/","Kaynak")</f>
        <v/>
      </c>
    </row>
    <row r="246" ht="30" customHeight="1">
      <c r="A246" s="8" t="n">
        <v>244</v>
      </c>
      <c r="B246" s="14" t="inlineStr">
        <is>
          <t>Borsa Kurul/C-Suite</t>
        </is>
      </c>
      <c r="C246" s="10" t="inlineStr">
        <is>
          <t>Education / Holding</t>
        </is>
      </c>
      <c r="D246" s="10" t="inlineStr">
        <is>
          <t>Prof. Dr. Georges El Yahchouchy</t>
        </is>
      </c>
      <c r="E246" s="10" t="inlineStr">
        <is>
          <t>CEO</t>
        </is>
      </c>
      <c r="F246" s="10" t="inlineStr">
        <is>
          <t>Humansoft Holding</t>
        </is>
      </c>
      <c r="G246" s="10" t="inlineStr">
        <is>
          <t>Kuveyt</t>
        </is>
      </c>
      <c r="H246" s="13" t="inlineStr">
        <is>
          <t>Yüksek (profesyonel)</t>
        </is>
      </c>
      <c r="I246" s="11">
        <f>HYPERLINK("https://www.linkedin.com/search/results/people/?keywords=Georges%20El%20Yahchouchy%20Humansoft","LinkedIn'de bul")</f>
        <v/>
      </c>
      <c r="J246" s="11">
        <f>HYPERLINK("https://www.human-soft.com","human-soft.com")</f>
        <v/>
      </c>
      <c r="K246" s="10" t="inlineStr"/>
      <c r="L246" s="10" t="inlineStr"/>
      <c r="M246" s="10" t="inlineStr"/>
      <c r="N246" s="10" t="inlineStr"/>
      <c r="O246" s="11">
        <f>HYPERLINK("https://www.human-soft.com/about/","Kaynak")</f>
        <v/>
      </c>
    </row>
    <row r="247" ht="30" customHeight="1">
      <c r="A247" s="8" t="n">
        <v>245</v>
      </c>
      <c r="B247" s="14" t="inlineStr">
        <is>
          <t>Borsa Kurul/C-Suite</t>
        </is>
      </c>
      <c r="C247" s="10" t="inlineStr">
        <is>
          <t>FMCG</t>
        </is>
      </c>
      <c r="D247" s="10" t="inlineStr">
        <is>
          <t>Muntaser Jassim Al-Wazzan</t>
        </is>
      </c>
      <c r="E247" s="10" t="inlineStr">
        <is>
          <t>Chairman</t>
        </is>
      </c>
      <c r="F247" s="10" t="inlineStr">
        <is>
          <t>Mezzan Holding</t>
        </is>
      </c>
      <c r="G247" s="10" t="inlineStr">
        <is>
          <t>Kuveyt</t>
        </is>
      </c>
      <c r="H247" s="10" t="inlineStr">
        <is>
          <t>Orta (başkan)</t>
        </is>
      </c>
      <c r="I247" s="11">
        <f>HYPERLINK("https://www.linkedin.com/search/results/people/?keywords=Muntaser%20Al-Wazzan%20Mezzan%20Holding","LinkedIn'de bul")</f>
        <v/>
      </c>
      <c r="J247" s="11">
        <f>HYPERLINK("https://www.mezzan.com","mezzan.com")</f>
        <v/>
      </c>
      <c r="K247" s="10" t="inlineStr"/>
      <c r="L247" s="10" t="inlineStr"/>
      <c r="M247" s="10" t="inlineStr"/>
      <c r="N247" s="10" t="inlineStr"/>
      <c r="O247" s="11">
        <f>HYPERLINK("https://www.mezzan.com/our-company/board-of-directors/","Kaynak")</f>
        <v/>
      </c>
    </row>
    <row r="248" ht="30" customHeight="1">
      <c r="A248" s="8" t="n">
        <v>246</v>
      </c>
      <c r="B248" s="14" t="inlineStr">
        <is>
          <t>Borsa Kurul/C-Suite</t>
        </is>
      </c>
      <c r="C248" s="10" t="inlineStr">
        <is>
          <t>FMCG</t>
        </is>
      </c>
      <c r="D248" s="10" t="inlineStr">
        <is>
          <t>Amr Farghal</t>
        </is>
      </c>
      <c r="E248" s="10" t="inlineStr">
        <is>
          <t>Group CEO</t>
        </is>
      </c>
      <c r="F248" s="10" t="inlineStr">
        <is>
          <t>Mezzan Holding</t>
        </is>
      </c>
      <c r="G248" s="10" t="inlineStr">
        <is>
          <t>Kuveyt</t>
        </is>
      </c>
      <c r="H248" s="13" t="inlineStr">
        <is>
          <t>Yüksek (profesyonel)</t>
        </is>
      </c>
      <c r="I248" s="11">
        <f>HYPERLINK("https://www.linkedin.com/search/results/people/?keywords=Amr%20Farghal%20Mezzan%20Holding","LinkedIn'de bul")</f>
        <v/>
      </c>
      <c r="J248" s="11">
        <f>HYPERLINK("https://www.mezzan.com","mezzan.com")</f>
        <v/>
      </c>
      <c r="K248" s="10" t="inlineStr"/>
      <c r="L248" s="10" t="inlineStr"/>
      <c r="M248" s="10" t="inlineStr"/>
      <c r="N248" s="10" t="inlineStr"/>
      <c r="O248" s="11">
        <f>HYPERLINK("https://www.mezzan.com/our-company/board-of-directors/","Kaynak")</f>
        <v/>
      </c>
    </row>
    <row r="249" ht="30" customHeight="1">
      <c r="A249" s="8" t="n">
        <v>247</v>
      </c>
      <c r="B249" s="14" t="inlineStr">
        <is>
          <t>Borsa Kurul/C-Suite</t>
        </is>
      </c>
      <c r="C249" s="10" t="inlineStr">
        <is>
          <t>FMCG</t>
        </is>
      </c>
      <c r="D249" s="10" t="inlineStr">
        <is>
          <t>Omar Samoud</t>
        </is>
      </c>
      <c r="E249" s="10" t="inlineStr">
        <is>
          <t>Group CFO</t>
        </is>
      </c>
      <c r="F249" s="10" t="inlineStr">
        <is>
          <t>Mezzan Holding</t>
        </is>
      </c>
      <c r="G249" s="10" t="inlineStr">
        <is>
          <t>Kuveyt</t>
        </is>
      </c>
      <c r="H249" s="13" t="inlineStr">
        <is>
          <t>Yüksek (profesyonel)</t>
        </is>
      </c>
      <c r="I249" s="11">
        <f>HYPERLINK("https://www.linkedin.com/search/results/people/?keywords=Omar%20Samoud%20Mezzan%20Holding","LinkedIn'de bul")</f>
        <v/>
      </c>
      <c r="J249" s="11">
        <f>HYPERLINK("https://www.mezzan.com","mezzan.com")</f>
        <v/>
      </c>
      <c r="K249" s="10" t="inlineStr"/>
      <c r="L249" s="10" t="inlineStr"/>
      <c r="M249" s="10" t="inlineStr"/>
      <c r="N249" s="10" t="inlineStr"/>
      <c r="O249" s="11">
        <f>HYPERLINK("https://www.mezzan.com/our-company/board-of-directors/","Kaynak")</f>
        <v/>
      </c>
    </row>
    <row r="250" ht="30" customHeight="1">
      <c r="A250" s="8" t="n">
        <v>248</v>
      </c>
      <c r="B250" s="14" t="inlineStr">
        <is>
          <t>Borsa Kurul/C-Suite</t>
        </is>
      </c>
      <c r="C250" s="10" t="inlineStr">
        <is>
          <t>Investment Holding</t>
        </is>
      </c>
      <c r="D250" s="10" t="inlineStr">
        <is>
          <t>Sheikh Hamad Sabah Al-Ahmad Al-Sabah</t>
        </is>
      </c>
      <c r="E250" s="10" t="inlineStr">
        <is>
          <t>Chairman</t>
        </is>
      </c>
      <c r="F250" s="10" t="inlineStr">
        <is>
          <t>KIPCO</t>
        </is>
      </c>
      <c r="G250" s="10" t="inlineStr">
        <is>
          <t>Kuveyt</t>
        </is>
      </c>
      <c r="H250" s="10" t="inlineStr">
        <is>
          <t>Düşük (royal/sahip)</t>
        </is>
      </c>
      <c r="I250" s="11">
        <f>HYPERLINK("https://www.linkedin.com/search/results/people/?keywords=Hamad%20Sabah%20Al-Sabah%20KIPCO","LinkedIn'de bul")</f>
        <v/>
      </c>
      <c r="J250" s="11">
        <f>HYPERLINK("https://www.kipco.com","kipco.com")</f>
        <v/>
      </c>
      <c r="K250" s="10" t="inlineStr"/>
      <c r="L250" s="10" t="inlineStr"/>
      <c r="M250" s="10" t="inlineStr"/>
      <c r="N250" s="10" t="inlineStr"/>
      <c r="O250" s="11">
        <f>HYPERLINK("https://kipco.com/about-us/","Kaynak")</f>
        <v/>
      </c>
    </row>
    <row r="251" ht="30" customHeight="1">
      <c r="A251" s="8" t="n">
        <v>249</v>
      </c>
      <c r="B251" s="14" t="inlineStr">
        <is>
          <t>Borsa Kurul/C-Suite</t>
        </is>
      </c>
      <c r="C251" s="10" t="inlineStr">
        <is>
          <t>Investment Holding</t>
        </is>
      </c>
      <c r="D251" s="10" t="inlineStr">
        <is>
          <t>Sheikha Dana Nasser Sabah Al-Ahmad Al-Sabah</t>
        </is>
      </c>
      <c r="E251" s="10" t="inlineStr">
        <is>
          <t>Group CEO</t>
        </is>
      </c>
      <c r="F251" s="10" t="inlineStr">
        <is>
          <t>KIPCO</t>
        </is>
      </c>
      <c r="G251" s="10" t="inlineStr">
        <is>
          <t>Kuveyt</t>
        </is>
      </c>
      <c r="H251" s="13" t="inlineStr">
        <is>
          <t>Yüksek (profesyonel)</t>
        </is>
      </c>
      <c r="I251" s="11">
        <f>HYPERLINK("https://www.linkedin.com/search/results/people/?keywords=Dana%20Al-Sabah%20KIPCO","LinkedIn'de bul")</f>
        <v/>
      </c>
      <c r="J251" s="11">
        <f>HYPERLINK("https://www.kipco.com","kipco.com")</f>
        <v/>
      </c>
      <c r="K251" s="10" t="inlineStr"/>
      <c r="L251" s="10" t="inlineStr"/>
      <c r="M251" s="10" t="inlineStr"/>
      <c r="N251" s="10" t="inlineStr"/>
      <c r="O251" s="11">
        <f>HYPERLINK("https://kipco.com/about-us/","Kaynak")</f>
        <v/>
      </c>
    </row>
    <row r="252" ht="30" customHeight="1">
      <c r="A252" s="8" t="n">
        <v>250</v>
      </c>
      <c r="B252" s="14" t="inlineStr">
        <is>
          <t>Borsa Kurul/C-Suite</t>
        </is>
      </c>
      <c r="C252" s="10" t="inlineStr">
        <is>
          <t>Investment Holding</t>
        </is>
      </c>
      <c r="D252" s="10" t="inlineStr">
        <is>
          <t>Moustapha Samir Chami</t>
        </is>
      </c>
      <c r="E252" s="10" t="inlineStr">
        <is>
          <t>Group CFO</t>
        </is>
      </c>
      <c r="F252" s="10" t="inlineStr">
        <is>
          <t>KIPCO</t>
        </is>
      </c>
      <c r="G252" s="10" t="inlineStr">
        <is>
          <t>Kuveyt</t>
        </is>
      </c>
      <c r="H252" s="13" t="inlineStr">
        <is>
          <t>Yüksek (profesyonel)</t>
        </is>
      </c>
      <c r="I252" s="11">
        <f>HYPERLINK("https://www.linkedin.com/search/results/people/?keywords=Moustapha%20Chami%20KIPCO","LinkedIn'de bul")</f>
        <v/>
      </c>
      <c r="J252" s="11">
        <f>HYPERLINK("https://www.kipco.com","kipco.com")</f>
        <v/>
      </c>
      <c r="K252" s="10" t="inlineStr"/>
      <c r="L252" s="10" t="inlineStr"/>
      <c r="M252" s="10" t="inlineStr"/>
      <c r="N252" s="10" t="inlineStr"/>
      <c r="O252" s="11">
        <f>HYPERLINK("https://kipco.com/about-us/","Kaynak")</f>
        <v/>
      </c>
    </row>
    <row r="253" ht="30" customHeight="1">
      <c r="A253" s="8" t="n">
        <v>251</v>
      </c>
      <c r="B253" s="14" t="inlineStr">
        <is>
          <t>Borsa Kurul/C-Suite</t>
        </is>
      </c>
      <c r="C253" s="10" t="inlineStr">
        <is>
          <t>Industrial / Holding</t>
        </is>
      </c>
      <c r="D253" s="10" t="inlineStr">
        <is>
          <t>Ahmed Mohammed Hassan</t>
        </is>
      </c>
      <c r="E253" s="10" t="inlineStr">
        <is>
          <t>CEO</t>
        </is>
      </c>
      <c r="F253" s="10" t="inlineStr">
        <is>
          <t>National Industries Group</t>
        </is>
      </c>
      <c r="G253" s="10" t="inlineStr">
        <is>
          <t>Kuveyt</t>
        </is>
      </c>
      <c r="H253" s="13" t="inlineStr">
        <is>
          <t>Yüksek (profesyonel)</t>
        </is>
      </c>
      <c r="I253" s="11">
        <f>HYPERLINK("https://www.linkedin.com/search/results/people/?keywords=Ahmed%20Mohammed%20Hassan%20National%20Industries%20Group","LinkedIn'de bul")</f>
        <v/>
      </c>
      <c r="J253" s="11">
        <f>HYPERLINK("https://www.nig.com.kw","nig.com.kw")</f>
        <v/>
      </c>
      <c r="K253" s="10" t="inlineStr"/>
      <c r="L253" s="10" t="inlineStr"/>
      <c r="M253" s="10" t="inlineStr"/>
      <c r="N253" s="10" t="inlineStr"/>
      <c r="O253" s="11">
        <f>HYPERLINK("https://www.nig.com.kw/AboutNIG/Top_Management","Kaynak")</f>
        <v/>
      </c>
    </row>
    <row r="254" ht="30" customHeight="1">
      <c r="A254" s="8" t="n">
        <v>252</v>
      </c>
      <c r="B254" s="14" t="inlineStr">
        <is>
          <t>Borsa Kurul/C-Suite</t>
        </is>
      </c>
      <c r="C254" s="10" t="inlineStr">
        <is>
          <t>Industrial / Holding</t>
        </is>
      </c>
      <c r="D254" s="10" t="inlineStr">
        <is>
          <t>Mubasher Hussien Sheikh</t>
        </is>
      </c>
      <c r="E254" s="10" t="inlineStr">
        <is>
          <t>CFO</t>
        </is>
      </c>
      <c r="F254" s="10" t="inlineStr">
        <is>
          <t>National Industries Group</t>
        </is>
      </c>
      <c r="G254" s="10" t="inlineStr">
        <is>
          <t>Kuveyt</t>
        </is>
      </c>
      <c r="H254" s="13" t="inlineStr">
        <is>
          <t>Yüksek (profesyonel)</t>
        </is>
      </c>
      <c r="I254" s="11">
        <f>HYPERLINK("https://www.linkedin.com/search/results/people/?keywords=Mubasher%20Sheikh%20National%20Industries%20Group","LinkedIn'de bul")</f>
        <v/>
      </c>
      <c r="J254" s="11">
        <f>HYPERLINK("https://www.nig.com.kw","nig.com.kw")</f>
        <v/>
      </c>
      <c r="K254" s="10" t="inlineStr"/>
      <c r="L254" s="10" t="inlineStr"/>
      <c r="M254" s="10" t="inlineStr"/>
      <c r="N254" s="10" t="inlineStr"/>
      <c r="O254" s="11">
        <f>HYPERLINK("https://www.nig.com.kw/AboutNIG/Top_Management","Kaynak")</f>
        <v/>
      </c>
    </row>
  </sheetData>
  <autoFilter ref="A2:O254"/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19" customWidth="1" min="3" max="3"/>
    <col width="18" customWidth="1" min="4" max="4"/>
    <col width="20" customWidth="1" min="5" max="5"/>
    <col width="15" customWidth="1" min="6" max="6"/>
    <col width="30" customWidth="1" min="7" max="7"/>
    <col width="17" customWidth="1" min="8" max="8"/>
    <col width="14" customWidth="1" min="9" max="9"/>
    <col width="14" customWidth="1" min="10" max="10"/>
    <col width="13" customWidth="1" min="11" max="11"/>
    <col width="24" customWidth="1" min="12" max="12"/>
    <col width="22" customWidth="1" min="13" max="13"/>
    <col width="16" customWidth="1" min="14" max="14"/>
    <col width="15" customWidth="1" min="15" max="15"/>
    <col width="14" customWidth="1" min="16" max="16"/>
    <col width="16" customWidth="1" min="17" max="17"/>
    <col width="13" customWidth="1" min="18" max="18"/>
    <col width="30" customWidth="1" min="19" max="19"/>
    <col width="9" customWidth="1" min="20" max="20"/>
    <col width="34" customWidth="1" min="21" max="21"/>
    <col width="8" customWidth="1" min="22" max="22"/>
  </cols>
  <sheetData>
    <row r="1" ht="44" customHeight="1">
      <c r="A1" s="7" t="inlineStr">
        <is>
          <t>No</t>
        </is>
      </c>
      <c r="B1" s="7" t="inlineStr">
        <is>
          <t>Sektör</t>
        </is>
      </c>
      <c r="C1" s="7" t="inlineStr">
        <is>
          <t>İsim</t>
        </is>
      </c>
      <c r="D1" s="7" t="inlineStr">
        <is>
          <t>Rol</t>
        </is>
      </c>
      <c r="E1" s="7" t="inlineStr">
        <is>
          <t>Şirket</t>
        </is>
      </c>
      <c r="F1" s="7" t="inlineStr">
        <is>
          <t>Ülke / Şehir</t>
        </is>
      </c>
      <c r="G1" s="7" t="inlineStr">
        <is>
          <t>Zenginlik Sinyali</t>
        </is>
      </c>
      <c r="H1" s="7" t="inlineStr">
        <is>
          <t>Yanıt Olasılığı</t>
        </is>
      </c>
      <c r="I1" s="7" t="inlineStr">
        <is>
          <t>Şirket Web</t>
        </is>
      </c>
      <c r="J1" s="7" t="inlineStr">
        <is>
          <t>LinkedIn (kişi ara)</t>
        </is>
      </c>
      <c r="K1" s="7" t="inlineStr">
        <is>
          <t>LinkedIn Şirket</t>
        </is>
      </c>
      <c r="L1" s="7" t="inlineStr">
        <is>
          <t>İş E-postası</t>
        </is>
      </c>
      <c r="M1" s="7" t="inlineStr">
        <is>
          <t>IR/Basın E-postası</t>
        </is>
      </c>
      <c r="N1" s="7" t="inlineStr">
        <is>
          <t>Telefon</t>
        </is>
      </c>
      <c r="O1" s="7" t="inlineStr">
        <is>
          <t>WhatsApp (ham)</t>
        </is>
      </c>
      <c r="P1" s="7" t="inlineStr">
        <is>
          <t>WhatsApp Linki</t>
        </is>
      </c>
      <c r="Q1" s="7" t="inlineStr">
        <is>
          <t>Instagram</t>
        </is>
      </c>
      <c r="R1" s="7" t="inlineStr">
        <is>
          <t>İletişim Sayfası</t>
        </is>
      </c>
      <c r="S1" s="7" t="inlineStr">
        <is>
          <t>Erişim Stratejisi</t>
        </is>
      </c>
      <c r="T1" s="7" t="inlineStr">
        <is>
          <t>Öncelik</t>
        </is>
      </c>
      <c r="U1" s="7" t="inlineStr">
        <is>
          <t>Doğrulama / Not</t>
        </is>
      </c>
      <c r="V1" s="7" t="inlineStr">
        <is>
          <t>Kaynak</t>
        </is>
      </c>
    </row>
    <row r="2" ht="60" customHeight="1">
      <c r="A2" s="8" t="n">
        <v>1</v>
      </c>
      <c r="B2" s="10" t="inlineStr">
        <is>
          <t>Holding / otelcilik</t>
        </is>
      </c>
      <c r="C2" s="10" t="inlineStr">
        <is>
          <t>Khalaf Ahmad Al Habtoor</t>
        </is>
      </c>
      <c r="D2" s="10" t="inlineStr">
        <is>
          <t>Kurucu &amp; Başkan</t>
        </is>
      </c>
      <c r="E2" s="10" t="inlineStr">
        <is>
          <t>Al Habtoor Group</t>
        </is>
      </c>
      <c r="F2" s="10" t="inlineStr">
        <is>
          <t>BAE (Dubai)</t>
        </is>
      </c>
      <c r="G2" s="10" t="inlineStr">
        <is>
          <t>Forbes milyarderi; ~$2.3 milyar; otel, otomotiv konglomerası</t>
        </is>
      </c>
      <c r="H2" s="10" t="inlineStr">
        <is>
          <t>Düşük (sahip/başkan — uzun vade)</t>
        </is>
      </c>
      <c r="I2" s="11">
        <f>HYPERLINK("https://www.habtoor.com","habtoor.com")</f>
        <v/>
      </c>
      <c r="J2" s="11">
        <f>HYPERLINK("https://www.linkedin.com/search/results/people/?keywords=Khalaf%20Ahmad%20Al%20Habtoor","LinkedIn'de bul")</f>
        <v/>
      </c>
      <c r="K2" s="11">
        <f>HYPERLINK("https://www.linkedin.com/company/al-habtoor-group","Şirket sayfası")</f>
        <v/>
      </c>
      <c r="L2" s="10" t="inlineStr"/>
      <c r="M2" s="10" t="inlineStr"/>
      <c r="N2" s="10" t="inlineStr">
        <is>
          <t>+971 4 394 1444</t>
        </is>
      </c>
      <c r="O2" s="10" t="inlineStr"/>
      <c r="P2" s="11">
        <f>IF($O2="","", HYPERLINK("https://wa.me/"&amp;SUBSTITUTE(SUBSTITUTE(SUBSTITUTE($O2,"+",""),"-","")," ",""),"WhatsApp'ta Aç"))</f>
        <v/>
      </c>
      <c r="Q2" s="10" t="inlineStr">
        <is>
          <t>@alhabtoorgroup</t>
        </is>
      </c>
      <c r="R2" s="11">
        <f>HYPERLINK("https://www.habtoor.com/en/25/contact/","İletişim/IR")</f>
        <v/>
      </c>
      <c r="S2" s="10" t="inlineStr">
        <is>
          <t>Özel şirket: santral + 'Office of the Chairman'/asistan (EA). Önce LinkedIn'de bağlan.</t>
        </is>
      </c>
      <c r="T2" s="15" t="inlineStr">
        <is>
          <t>Yüksek</t>
        </is>
      </c>
      <c r="U2" s="10" t="inlineStr">
        <is>
          <t>Yaşıyor, aktif (2026 Mart'ta public yorumlar). | Mail yok; form üzerinden. Özel grup.</t>
        </is>
      </c>
      <c r="V2" s="11">
        <f>HYPERLINK("https://en.wikipedia.org/wiki/Khalaf_Ahmad_Al_Habtoor","Kaynak")</f>
        <v/>
      </c>
    </row>
    <row r="3" ht="60" customHeight="1">
      <c r="A3" s="8" t="n">
        <v>2</v>
      </c>
      <c r="B3" s="10" t="inlineStr">
        <is>
          <t>Perakende</t>
        </is>
      </c>
      <c r="C3" s="10" t="inlineStr">
        <is>
          <t>Yusuffali M.A.</t>
        </is>
      </c>
      <c r="D3" s="10" t="inlineStr">
        <is>
          <t>Kurucu, Başkan &amp; MD</t>
        </is>
      </c>
      <c r="E3" s="10" t="inlineStr">
        <is>
          <t>LuLu Group International</t>
        </is>
      </c>
      <c r="F3" s="10" t="inlineStr">
        <is>
          <t>BAE (Abu Dabi)</t>
        </is>
      </c>
      <c r="G3" s="10" t="inlineStr">
        <is>
          <t>Forbes milyarderi; ~$6.4-8.9 milyar; Ortadoğu'nun en büyük perakende zincirlerinden</t>
        </is>
      </c>
      <c r="H3" s="10" t="inlineStr">
        <is>
          <t>Düşük (sahip/başkan — uzun vade)</t>
        </is>
      </c>
      <c r="I3" s="11">
        <f>HYPERLINK("https://www.lulugroupinternational.com","lulugroupinternational.com")</f>
        <v/>
      </c>
      <c r="J3" s="11">
        <f>HYPERLINK("https://www.linkedin.com/search/results/people/?keywords=Yusuffali%20M.A.","LinkedIn'de bul")</f>
        <v/>
      </c>
      <c r="K3" s="11">
        <f>HYPERLINK("https://www.linkedin.com/company/lulu-group","Şirket sayfası")</f>
        <v/>
      </c>
      <c r="L3" s="10" t="inlineStr">
        <is>
          <t>headoffice@ae.lulumea.com</t>
        </is>
      </c>
      <c r="M3" s="10" t="inlineStr">
        <is>
          <t>investor.relations@luluretail.com</t>
        </is>
      </c>
      <c r="N3" s="10" t="inlineStr">
        <is>
          <t>+971 2 4182000</t>
        </is>
      </c>
      <c r="O3" s="10" t="inlineStr"/>
      <c r="P3" s="11">
        <f>IF($O3="","", HYPERLINK("https://wa.me/"&amp;SUBSTITUTE(SUBSTITUTE(SUBSTITUTE($O3,"+",""),"-","")," ",""),"WhatsApp'ta Aç"))</f>
        <v/>
      </c>
      <c r="Q3" s="10" t="inlineStr">
        <is>
          <t>@luluretailholdings</t>
        </is>
      </c>
      <c r="R3" s="11">
        <f>HYPERLINK("https://www.luluretail.com/investors/contact-ir/","İletişim/IR")</f>
        <v/>
      </c>
      <c r="S3" s="10" t="inlineStr">
        <is>
          <t>Özel şirket: santral + 'Office of the Chairman'/asistan (EA). Önce LinkedIn'de bağlan.</t>
        </is>
      </c>
      <c r="T3" s="15" t="inlineStr">
        <is>
          <t>Yüksek</t>
        </is>
      </c>
      <c r="U3" s="10" t="inlineStr">
        <is>
          <t>Yaşıyor, aktif başkan &amp; MD (2025). | Site luluretail.com'a (ADX:LULU) yönleniyor; mail/telefonu canlı sayfada teyit et.</t>
        </is>
      </c>
      <c r="V3" s="11">
        <f>HYPERLINK("https://en.wikipedia.org/wiki/M._A._Yusuff_Ali","Kaynak")</f>
        <v/>
      </c>
    </row>
    <row r="4" ht="60" customHeight="1">
      <c r="A4" s="8" t="n">
        <v>3</v>
      </c>
      <c r="B4" s="10" t="inlineStr">
        <is>
          <t>Otomotiv / perakende</t>
        </is>
      </c>
      <c r="C4" s="10" t="inlineStr">
        <is>
          <t>Abdulla Al Futtaim</t>
        </is>
      </c>
      <c r="D4" s="10" t="inlineStr">
        <is>
          <t>Sahip &amp; Başkan</t>
        </is>
      </c>
      <c r="E4" s="10" t="inlineStr">
        <is>
          <t>Al-Futtaim Group</t>
        </is>
      </c>
      <c r="F4" s="10" t="inlineStr">
        <is>
          <t>BAE (Dubai)</t>
        </is>
      </c>
      <c r="G4" s="10" t="inlineStr">
        <is>
          <t>Forbes milyarderi; ~$4.8 milyar; Toyota/Lexus distribütörü, 20+ ülkede</t>
        </is>
      </c>
      <c r="H4" s="10" t="inlineStr">
        <is>
          <t>Düşük (sahip/başkan — uzun vade)</t>
        </is>
      </c>
      <c r="I4" s="11">
        <f>HYPERLINK("https://www.alfuttaim.com","alfuttaim.com")</f>
        <v/>
      </c>
      <c r="J4" s="11">
        <f>HYPERLINK("https://www.linkedin.com/search/results/people/?keywords=Abdulla%20Al%20Futtaim","LinkedIn'de bul")</f>
        <v/>
      </c>
      <c r="K4" s="11">
        <f>HYPERLINK("https://www.linkedin.com/company/alfuttaim","Şirket sayfası")</f>
        <v/>
      </c>
      <c r="L4" s="10" t="inlineStr"/>
      <c r="M4" s="10" t="inlineStr"/>
      <c r="N4" s="10" t="inlineStr"/>
      <c r="O4" s="10" t="inlineStr"/>
      <c r="P4" s="11">
        <f>IF($O4="","", HYPERLINK("https://wa.me/"&amp;SUBSTITUTE(SUBSTITUTE(SUBSTITUTE($O4,"+",""),"-","")," ",""),"WhatsApp'ta Aç"))</f>
        <v/>
      </c>
      <c r="Q4" s="10" t="inlineStr">
        <is>
          <t>@alfuttaim</t>
        </is>
      </c>
      <c r="R4" s="11">
        <f>HYPERLINK("https://www.alfuttaim.com/contact-us/","İletişim/IR")</f>
        <v/>
      </c>
      <c r="S4" s="10" t="inlineStr">
        <is>
          <t>Özel şirket: santral + 'Office of the Chairman'/asistan (EA). Önce LinkedIn'de bağlan.</t>
        </is>
      </c>
      <c r="T4" s="15" t="inlineStr">
        <is>
          <t>Yüksek</t>
        </is>
      </c>
      <c r="U4" s="10" t="inlineStr">
        <is>
          <t>Yaşıyor; oğlu Omar grup CEO'su. (Majid Al Futtaim'den farklı kişi.) | Sadece web formu; mail/telefon yayınlamıyor. Medya/Partner formu ayrı.</t>
        </is>
      </c>
      <c r="V4" s="11">
        <f>HYPERLINK("https://en.wikipedia.org/wiki/Abdulla_Al_Futtaim","Kaynak")</f>
        <v/>
      </c>
    </row>
    <row r="5" ht="60" customHeight="1">
      <c r="A5" s="8" t="n">
        <v>4</v>
      </c>
      <c r="B5" s="10" t="inlineStr">
        <is>
          <t>Sağlık</t>
        </is>
      </c>
      <c r="C5" s="10" t="inlineStr">
        <is>
          <t>Dr. Shamsheer Vayalil</t>
        </is>
      </c>
      <c r="D5" s="10" t="inlineStr">
        <is>
          <t>Kurucu, Başkan &amp; CEO</t>
        </is>
      </c>
      <c r="E5" s="10" t="inlineStr">
        <is>
          <t>Burjeel Holdings</t>
        </is>
      </c>
      <c r="F5" s="10" t="inlineStr">
        <is>
          <t>BAE (Abu Dabi)</t>
        </is>
      </c>
      <c r="G5" s="10" t="inlineStr">
        <is>
          <t>Forbes milyarderi; ~$2.2 milyar; ADX'te listeli MENA sağlık ağı</t>
        </is>
      </c>
      <c r="H5" s="10" t="inlineStr">
        <is>
          <t>Düşük (sahip/başkan — uzun vade)</t>
        </is>
      </c>
      <c r="I5" s="11">
        <f>HYPERLINK("https://burjeelholdings.com","burjeelholdings.com")</f>
        <v/>
      </c>
      <c r="J5" s="11">
        <f>HYPERLINK("https://www.linkedin.com/search/results/people/?keywords=Dr.%20Shamsheer%20Vayalil","LinkedIn'de bul")</f>
        <v/>
      </c>
      <c r="K5" s="11">
        <f>HYPERLINK("https://www.linkedin.com/company/burjeel-holdings","Şirket sayfası")</f>
        <v/>
      </c>
      <c r="L5" s="10" t="inlineStr">
        <is>
          <t>info@burjeelholdings.com</t>
        </is>
      </c>
      <c r="M5" s="10" t="inlineStr"/>
      <c r="N5" s="10" t="inlineStr">
        <is>
          <t>+971 800 55</t>
        </is>
      </c>
      <c r="O5" s="10" t="inlineStr"/>
      <c r="P5" s="11">
        <f>IF($O5="","", HYPERLINK("https://wa.me/"&amp;SUBSTITUTE(SUBSTITUTE(SUBSTITUTE($O5,"+",""),"-","")," ",""),"WhatsApp'ta Aç"))</f>
        <v/>
      </c>
      <c r="Q5" s="10" t="inlineStr">
        <is>
          <t>@burjeelholdings</t>
        </is>
      </c>
      <c r="R5" s="11">
        <f>HYPERLINK("https://burjeelholdings.com/investor-relations/","İletişim/IR")</f>
        <v/>
      </c>
      <c r="S5" s="10" t="inlineStr">
        <is>
          <t>Halka açık: IR maili üzerinden kurumsal giriş + 'Office of the Chairman'/asistan (EA).</t>
        </is>
      </c>
      <c r="T5" s="15" t="inlineStr">
        <is>
          <t>Yüksek</t>
        </is>
      </c>
      <c r="U5" s="10" t="inlineStr">
        <is>
          <t>Yaşıyor; 2025'te CEO'luğu da üstlendi. | Listeli (ADX:BURJEEL). 80055 toll + WhatsApp hattı.</t>
        </is>
      </c>
      <c r="V5" s="11">
        <f>HYPERLINK("https://burjeelholdings.com/company/leadership/","Kaynak")</f>
        <v/>
      </c>
    </row>
    <row r="6" ht="60" customHeight="1">
      <c r="A6" s="8" t="n">
        <v>5</v>
      </c>
      <c r="B6" s="10" t="inlineStr">
        <is>
          <t>Eğitim</t>
        </is>
      </c>
      <c r="C6" s="10" t="inlineStr">
        <is>
          <t>Sunny Varkey</t>
        </is>
      </c>
      <c r="D6" s="10" t="inlineStr">
        <is>
          <t>Kurucu &amp; İcra Başkanı</t>
        </is>
      </c>
      <c r="E6" s="10" t="inlineStr">
        <is>
          <t>GEMS Education</t>
        </is>
      </c>
      <c r="F6" s="10" t="inlineStr">
        <is>
          <t>BAE (Dubai)</t>
        </is>
      </c>
      <c r="G6" s="10" t="inlineStr">
        <is>
          <t>Forbes milyarderi; ~$3.7 milyar; dünyanın en büyük özel K-12 okul işletmecisi</t>
        </is>
      </c>
      <c r="H6" s="10" t="inlineStr">
        <is>
          <t>Düşük (sahip/başkan — uzun vade)</t>
        </is>
      </c>
      <c r="I6" s="11">
        <f>HYPERLINK("https://www.gemseducation.com","gemseducation.com")</f>
        <v/>
      </c>
      <c r="J6" s="11">
        <f>HYPERLINK("https://www.linkedin.com/search/results/people/?keywords=Sunny%20Varkey","LinkedIn'de bul")</f>
        <v/>
      </c>
      <c r="K6" s="11">
        <f>HYPERLINK("https://www.linkedin.com/company/gems-education","Şirket sayfası")</f>
        <v/>
      </c>
      <c r="L6" s="10" t="inlineStr">
        <is>
          <t>parents@gemseducation.com</t>
        </is>
      </c>
      <c r="M6" s="10" t="inlineStr"/>
      <c r="N6" s="10" t="inlineStr">
        <is>
          <t>+971 4 347 7770</t>
        </is>
      </c>
      <c r="O6" s="10" t="inlineStr"/>
      <c r="P6" s="11">
        <f>IF($O6="","", HYPERLINK("https://wa.me/"&amp;SUBSTITUTE(SUBSTITUTE(SUBSTITUTE($O6,"+",""),"-","")," ",""),"WhatsApp'ta Aç"))</f>
        <v/>
      </c>
      <c r="Q6" s="10" t="inlineStr">
        <is>
          <t>@gems_education</t>
        </is>
      </c>
      <c r="R6" s="11">
        <f>HYPERLINK("https://www.gemseducation.com/","İletişim/IR")</f>
        <v/>
      </c>
      <c r="S6" s="10" t="inlineStr">
        <is>
          <t>Özel şirket: santral + 'Office of the Chairman'/asistan (EA). Önce LinkedIn'de bağlan.</t>
        </is>
      </c>
      <c r="T6" s="15" t="inlineStr">
        <is>
          <t>Yüksek</t>
        </is>
      </c>
      <c r="U6" s="10" t="inlineStr">
        <is>
          <t>Yaşıyor, aktif; oğlu Dino CEO. | Kurumsal hat; veli hattı 600 567771. Özel.</t>
        </is>
      </c>
      <c r="V6" s="11">
        <f>HYPERLINK("https://en.wikipedia.org/wiki/Sunny_Varkey","Kaynak")</f>
        <v/>
      </c>
    </row>
    <row r="7" ht="60" customHeight="1">
      <c r="A7" s="8" t="n">
        <v>6</v>
      </c>
      <c r="B7" s="10" t="inlineStr">
        <is>
          <t>Perakende (mücevher)</t>
        </is>
      </c>
      <c r="C7" s="10" t="inlineStr">
        <is>
          <t>Joy Alukkas</t>
        </is>
      </c>
      <c r="D7" s="10" t="inlineStr">
        <is>
          <t>Kurucu, Başkan &amp; MD</t>
        </is>
      </c>
      <c r="E7" s="10" t="inlineStr">
        <is>
          <t>Joyalukkas Group</t>
        </is>
      </c>
      <c r="F7" s="10" t="inlineStr">
        <is>
          <t>BAE (Dubai)</t>
        </is>
      </c>
      <c r="G7" s="10" t="inlineStr">
        <is>
          <t>Forbes milyarderi; ~$5.2 milyar; 12 ülkede 190+ mağaza</t>
        </is>
      </c>
      <c r="H7" s="10" t="inlineStr">
        <is>
          <t>Düşük (sahip/başkan — uzun vade)</t>
        </is>
      </c>
      <c r="I7" s="11">
        <f>HYPERLINK("https://www.joyalukkas.com","joyalukkas.com")</f>
        <v/>
      </c>
      <c r="J7" s="11">
        <f>HYPERLINK("https://www.linkedin.com/search/results/people/?keywords=Joy%20Alukkas","LinkedIn'de bul")</f>
        <v/>
      </c>
      <c r="K7" s="11">
        <f>HYPERLINK("https://www.linkedin.com/company/joyalukkas","Şirket sayfası")</f>
        <v/>
      </c>
      <c r="L7" s="10" t="inlineStr">
        <is>
          <t>customercare@joyalukkas.com</t>
        </is>
      </c>
      <c r="M7" s="10" t="inlineStr"/>
      <c r="N7" s="10" t="inlineStr">
        <is>
          <t>+971 4 2629661</t>
        </is>
      </c>
      <c r="O7" s="10" t="inlineStr"/>
      <c r="P7" s="11">
        <f>IF($O7="","", HYPERLINK("https://wa.me/"&amp;SUBSTITUTE(SUBSTITUTE(SUBSTITUTE($O7,"+",""),"-","")," ",""),"WhatsApp'ta Aç"))</f>
        <v/>
      </c>
      <c r="Q7" s="10" t="inlineStr"/>
      <c r="R7" s="11">
        <f>HYPERLINK("https://www.joyalukkas.com/ae/contact-us/","İletişim/IR")</f>
        <v/>
      </c>
      <c r="S7" s="10" t="inlineStr">
        <is>
          <t>Özel şirket: santral + 'Office of the Chairman'/asistan (EA). Önce LinkedIn'de bağlan.</t>
        </is>
      </c>
      <c r="T7" s="15" t="inlineStr">
        <is>
          <t>Yüksek</t>
        </is>
      </c>
      <c r="U7" s="10" t="inlineStr">
        <is>
          <t>Yaşıyor, aktif (2025-2026). | B2B: b2b@joyalukkas.com. Site JS; canlı sayfada teyit et.</t>
        </is>
      </c>
      <c r="V7" s="11">
        <f>HYPERLINK("https://en.wikipedia.org/wiki/Joy_Alukkas","Kaynak")</f>
        <v/>
      </c>
    </row>
    <row r="8" ht="60" customHeight="1">
      <c r="A8" s="8" t="n">
        <v>7</v>
      </c>
      <c r="B8" s="10" t="inlineStr">
        <is>
          <t>İnşaat / sanayi</t>
        </is>
      </c>
      <c r="C8" s="10" t="inlineStr">
        <is>
          <t>B. Ravi Pillai</t>
        </is>
      </c>
      <c r="D8" s="10" t="inlineStr">
        <is>
          <t>Kurucu &amp; Başkan</t>
        </is>
      </c>
      <c r="E8" s="10" t="inlineStr">
        <is>
          <t>RP Group</t>
        </is>
      </c>
      <c r="F8" s="10" t="inlineStr">
        <is>
          <t>Bahreyn / BAE</t>
        </is>
      </c>
      <c r="G8" s="10" t="inlineStr">
        <is>
          <t>Forbes milyarderi; ~$4.2 milyar; ~$12 milyarlık sanayi konglomerası, 126.000+ çalışan</t>
        </is>
      </c>
      <c r="H8" s="10" t="inlineStr">
        <is>
          <t>Düşük (sahip/başkan — uzun vade)</t>
        </is>
      </c>
      <c r="I8" s="11">
        <f>HYPERLINK("https://www.rpgroup.com","rpgroup.com")</f>
        <v/>
      </c>
      <c r="J8" s="11">
        <f>HYPERLINK("https://www.linkedin.com/search/results/people/?keywords=B.%20Ravi%20Pillai","LinkedIn'de bul")</f>
        <v/>
      </c>
      <c r="K8" s="11" t="inlineStr"/>
      <c r="L8" s="10" t="inlineStr"/>
      <c r="M8" s="10" t="inlineStr"/>
      <c r="N8" s="10" t="inlineStr"/>
      <c r="O8" s="10" t="inlineStr"/>
      <c r="P8" s="11">
        <f>IF($O8="","", HYPERLINK("https://wa.me/"&amp;SUBSTITUTE(SUBSTITUTE(SUBSTITUTE($O8,"+",""),"-","")," ",""),"WhatsApp'ta Aç"))</f>
        <v/>
      </c>
      <c r="Q8" s="10" t="inlineStr"/>
      <c r="R8" s="11" t="inlineStr"/>
      <c r="S8" s="10" t="inlineStr">
        <is>
          <t>Özel şirket: santral + 'Office of the Chairman'/asistan (EA). Önce LinkedIn'de bağlan.</t>
        </is>
      </c>
      <c r="T8" s="15" t="inlineStr">
        <is>
          <t>Yüksek</t>
        </is>
      </c>
      <c r="U8" s="10" t="inlineStr">
        <is>
          <t>Yaşıyor, aktif (2025-2026). | DOĞRULA: rpgroup.com = Danimarkalı RiskPoint çıktı. B. Ravi Pillai'nin RP Group'unun doğru domainini teyit et (muhtemelen rpgroup.ae / rpggroup.com).</t>
        </is>
      </c>
      <c r="V8" s="11">
        <f>HYPERLINK("https://en.wikipedia.org/wiki/B._Ravi_Pillai","Kaynak")</f>
        <v/>
      </c>
    </row>
    <row r="9" ht="60" customHeight="1">
      <c r="A9" s="8" t="n">
        <v>8</v>
      </c>
      <c r="B9" s="10" t="inlineStr">
        <is>
          <t>Lojistik / perakende</t>
        </is>
      </c>
      <c r="C9" s="10" t="inlineStr">
        <is>
          <t>Ibrahim Sharaf</t>
        </is>
      </c>
      <c r="D9" s="10" t="inlineStr">
        <is>
          <t>Kurucu &amp; Başkan</t>
        </is>
      </c>
      <c r="E9" s="10" t="inlineStr">
        <is>
          <t>Sharaf Group</t>
        </is>
      </c>
      <c r="F9" s="10" t="inlineStr">
        <is>
          <t>BAE (Dubai)</t>
        </is>
      </c>
      <c r="G9" s="10" t="inlineStr">
        <is>
          <t>BAE'nin en büyük konglomeralarından (60+ şirket: denizcilik, lojistik, Sharaf DG, gayrimenkul)</t>
        </is>
      </c>
      <c r="H9" s="10" t="inlineStr">
        <is>
          <t>Düşük (sahip/başkan — uzun vade)</t>
        </is>
      </c>
      <c r="I9" s="11">
        <f>HYPERLINK("https://www.sharafgroup.com","sharafgroup.com")</f>
        <v/>
      </c>
      <c r="J9" s="11">
        <f>HYPERLINK("https://www.linkedin.com/search/results/people/?keywords=Ibrahim%20Sharaf","LinkedIn'de bul")</f>
        <v/>
      </c>
      <c r="K9" s="11">
        <f>HYPERLINK("https://www.linkedin.com/company/sharaf-group","Şirket sayfası")</f>
        <v/>
      </c>
      <c r="L9" s="10" t="inlineStr">
        <is>
          <t>info@sharaf.ae</t>
        </is>
      </c>
      <c r="M9" s="10" t="inlineStr"/>
      <c r="N9" s="10" t="inlineStr">
        <is>
          <t>+971 4 3521555</t>
        </is>
      </c>
      <c r="O9" s="10" t="inlineStr"/>
      <c r="P9" s="11">
        <f>IF($O9="","", HYPERLINK("https://wa.me/"&amp;SUBSTITUTE(SUBSTITUTE(SUBSTITUTE($O9,"+",""),"-","")," ",""),"WhatsApp'ta Aç"))</f>
        <v/>
      </c>
      <c r="Q9" s="10" t="inlineStr">
        <is>
          <t>@sharafgroupco</t>
        </is>
      </c>
      <c r="R9" s="11">
        <f>HYPERLINK("https://www.sharafgroup.com/contact-us/","İletişim/IR")</f>
        <v/>
      </c>
      <c r="S9" s="10" t="inlineStr">
        <is>
          <t>Özel şirket: santral + 'Office of the Chairman'/asistan (EA). Önce LinkedIn'de bağlan.</t>
        </is>
      </c>
      <c r="T9" s="8" t="inlineStr">
        <is>
          <t>Orta</t>
        </is>
      </c>
      <c r="U9" s="10" t="inlineStr">
        <is>
          <t>Başkan; grup 20+ ülkede aktif. Net servet belgesiz (özel grup). | Özel grup.</t>
        </is>
      </c>
      <c r="V9" s="11">
        <f>HYPERLINK("https://www.arabianbusiness.com/lists/power-100-290344-htmlitemid290516","Kaynak")</f>
        <v/>
      </c>
    </row>
    <row r="10" ht="60" customHeight="1">
      <c r="A10" s="8" t="n">
        <v>9</v>
      </c>
      <c r="B10" s="10" t="inlineStr">
        <is>
          <t>Teknoloji</t>
        </is>
      </c>
      <c r="C10" s="10" t="inlineStr">
        <is>
          <t>Pavel Durov</t>
        </is>
      </c>
      <c r="D10" s="10" t="inlineStr">
        <is>
          <t>Kurucu &amp; CEO</t>
        </is>
      </c>
      <c r="E10" s="10" t="inlineStr">
        <is>
          <t>Telegram</t>
        </is>
      </c>
      <c r="F10" s="10" t="inlineStr">
        <is>
          <t>BAE (Dubai)</t>
        </is>
      </c>
      <c r="G10" s="10" t="inlineStr">
        <is>
          <t>Forbes milyarderi; ~$6.6 milyar; merkezi Dubai'de olan Telegram'ın kurucusu</t>
        </is>
      </c>
      <c r="H10" s="10" t="inlineStr">
        <is>
          <t>Düşük (sahip/başkan — uzun vade)</t>
        </is>
      </c>
      <c r="I10" s="11">
        <f>HYPERLINK("https://telegram.org","telegram.org")</f>
        <v/>
      </c>
      <c r="J10" s="11">
        <f>HYPERLINK("https://www.linkedin.com/search/results/people/?keywords=Pavel%20Durov","LinkedIn'de bul")</f>
        <v/>
      </c>
      <c r="K10" s="11" t="inlineStr"/>
      <c r="L10" s="10" t="inlineStr"/>
      <c r="M10" s="10" t="inlineStr"/>
      <c r="N10" s="10" t="inlineStr"/>
      <c r="O10" s="10" t="inlineStr"/>
      <c r="P10" s="11">
        <f>IF($O10="","", HYPERLINK("https://wa.me/"&amp;SUBSTITUTE(SUBSTITUTE(SUBSTITUTE($O10,"+",""),"-","")," ",""),"WhatsApp'ta Aç"))</f>
        <v/>
      </c>
      <c r="Q10" s="10" t="inlineStr"/>
      <c r="R10" s="11" t="inlineStr"/>
      <c r="S10" s="10" t="inlineStr">
        <is>
          <t>Özel şirket: santral + 'Office of the Chairman'/asistan (EA). Önce LinkedIn'de bağlan.</t>
        </is>
      </c>
      <c r="T10" s="15" t="inlineStr">
        <is>
          <t>Yüksek</t>
        </is>
      </c>
      <c r="U10" s="10" t="inlineStr">
        <is>
          <t>Yaşıyor, aktif (2025-2026). | DOĞRULA: Telegram kurumsal iletişim yayınlamaz; Durov'a erişim zor, düşük öncelik.</t>
        </is>
      </c>
      <c r="V10" s="11">
        <f>HYPERLINK("https://www.khaleejtimes.com/business/meet-the-top-10-uae-based-businessmen-in-forbes-worlds-billionaires-list","Kaynak")</f>
        <v/>
      </c>
    </row>
    <row r="11" ht="60" customHeight="1">
      <c r="A11" s="8" t="n">
        <v>10</v>
      </c>
      <c r="B11" s="10" t="inlineStr">
        <is>
          <t>Holding / otelcilik</t>
        </is>
      </c>
      <c r="C11" s="10" t="inlineStr">
        <is>
          <t>Sheikh Faisal bin Qassim Al Thani</t>
        </is>
      </c>
      <c r="D11" s="10" t="inlineStr">
        <is>
          <t>Kurucu &amp; Başkan</t>
        </is>
      </c>
      <c r="E11" s="10" t="inlineStr">
        <is>
          <t>Al Faisal Holding</t>
        </is>
      </c>
      <c r="F11" s="10" t="inlineStr">
        <is>
          <t>Katar (Doha)</t>
        </is>
      </c>
      <c r="G11" s="10" t="inlineStr">
        <is>
          <t>Forbes milyarderi (2025); ~$1.9 milyar; Katar'ın en büyük özel konglomeralarından, 20+ otel</t>
        </is>
      </c>
      <c r="H11" s="10" t="inlineStr">
        <is>
          <t>Düşük (sahip/başkan — uzun vade)</t>
        </is>
      </c>
      <c r="I11" s="11">
        <f>HYPERLINK("https://www.alfaisalholding.com","alfaisalholding.com")</f>
        <v/>
      </c>
      <c r="J11" s="11">
        <f>HYPERLINK("https://www.linkedin.com/search/results/people/?keywords=Sheikh%20Faisal%20bin%20Qassim%20Al%20Thani","LinkedIn'de bul")</f>
        <v/>
      </c>
      <c r="K11" s="11">
        <f>HYPERLINK("https://www.linkedin.com/company/al-faisal-holding-co-","Şirket sayfası")</f>
        <v/>
      </c>
      <c r="L11" s="10" t="inlineStr">
        <is>
          <t>info@alfaisalholding.com</t>
        </is>
      </c>
      <c r="M11" s="10" t="inlineStr"/>
      <c r="N11" s="10" t="inlineStr">
        <is>
          <t>+974 44223830</t>
        </is>
      </c>
      <c r="O11" s="10" t="inlineStr"/>
      <c r="P11" s="11">
        <f>IF($O11="","", HYPERLINK("https://wa.me/"&amp;SUBSTITUTE(SUBSTITUTE(SUBSTITUTE($O11,"+",""),"-","")," ",""),"WhatsApp'ta Aç"))</f>
        <v/>
      </c>
      <c r="Q11" s="10" t="inlineStr"/>
      <c r="R11" s="11">
        <f>HYPERLINK("https://www.alfaisalholding.com/contact-us","İletişim/IR")</f>
        <v/>
      </c>
      <c r="S11" s="10" t="inlineStr">
        <is>
          <t>Özel şirket: santral + 'Office of the Chairman'/asistan (EA). Önce LinkedIn'de bağlan.</t>
        </is>
      </c>
      <c r="T11" s="15" t="inlineStr">
        <is>
          <t>Yüksek</t>
        </is>
      </c>
      <c r="U11" s="10" t="inlineStr">
        <is>
          <t>Yaşıyor, aktif (Kasım 2025 röportajı). | HR: hr@alfaisalholding.com. X: @AlFaisalPR. Özel.</t>
        </is>
      </c>
      <c r="V11" s="11">
        <f>HYPERLINK("https://oxfordbusinessgroup.com/articles-interviews/sheikh-faisal-bin-qassim-al-thani-chairman-al-faisal-holding","Kaynak")</f>
        <v/>
      </c>
    </row>
    <row r="12" ht="60" customHeight="1">
      <c r="A12" s="8" t="n">
        <v>11</v>
      </c>
      <c r="B12" s="10" t="inlineStr">
        <is>
          <t>Finans / yatırım</t>
        </is>
      </c>
      <c r="C12" s="10" t="inlineStr">
        <is>
          <t>Sheikh Hamad bin Jassim Al Thani</t>
        </is>
      </c>
      <c r="D12" s="10" t="inlineStr">
        <is>
          <t>Başkan / Ana Yatırımcı</t>
        </is>
      </c>
      <c r="E12" s="10" t="inlineStr">
        <is>
          <t>QInvest / özel yatırımlar</t>
        </is>
      </c>
      <c r="F12" s="10" t="inlineStr">
        <is>
          <t>Katar (Doha)</t>
        </is>
      </c>
      <c r="G12" s="10" t="inlineStr">
        <is>
          <t>Forbes milyarderi 2025; ~$3.9 milyar; Deutsche Bank'ta ~%3 dahil dev özel yatırımlar</t>
        </is>
      </c>
      <c r="H12" s="10" t="inlineStr">
        <is>
          <t>Düşük (sahip/başkan — uzun vade)</t>
        </is>
      </c>
      <c r="I12" s="11">
        <f>HYPERLINK("https://www.qinvest.com","qinvest.com")</f>
        <v/>
      </c>
      <c r="J12" s="11">
        <f>HYPERLINK("https://www.linkedin.com/search/results/people/?keywords=Sheikh%20Hamad%20bin%20Jassim%20Al%20Thani","LinkedIn'de bul")</f>
        <v/>
      </c>
      <c r="K12" s="11" t="inlineStr"/>
      <c r="L12" s="10" t="inlineStr"/>
      <c r="M12" s="10" t="inlineStr"/>
      <c r="N12" s="10" t="inlineStr"/>
      <c r="O12" s="10" t="inlineStr"/>
      <c r="P12" s="11">
        <f>IF($O12="","", HYPERLINK("https://wa.me/"&amp;SUBSTITUTE(SUBSTITUTE(SUBSTITUTE($O12,"+",""),"-","")," ",""),"WhatsApp'ta Aç"))</f>
        <v/>
      </c>
      <c r="Q12" s="10" t="inlineStr"/>
      <c r="R12" s="11" t="inlineStr"/>
      <c r="S12" s="10" t="inlineStr">
        <is>
          <t>Özel şirket: santral + 'Office of the Chairman'/asistan (EA). Önce LinkedIn'de bağlan.</t>
        </is>
      </c>
      <c r="T12" s="15" t="inlineStr">
        <is>
          <t>Yüksek</t>
        </is>
      </c>
      <c r="U12" s="10" t="inlineStr">
        <is>
          <t>Yaşıyor; eski Katar Başbakanı, şimdi büyük özel yatırımcı. | DOĞRULA: Hamad bin Jassim erişimi özel yatırım araçları üzerinden; QInvest IR teyit et.</t>
        </is>
      </c>
      <c r="V12" s="11">
        <f>HYPERLINK("https://thepeninsulaqatar.com/article/07/04/2025/two-qataris-featured-in-forbes-2025-worlds-billionaires-list","Kaynak")</f>
        <v/>
      </c>
    </row>
    <row r="13" ht="60" customHeight="1">
      <c r="A13" s="8" t="n">
        <v>12</v>
      </c>
      <c r="B13" s="10" t="inlineStr">
        <is>
          <t>Holding / otomotiv</t>
        </is>
      </c>
      <c r="C13" s="10" t="inlineStr">
        <is>
          <t>Hisham Al Mana</t>
        </is>
      </c>
      <c r="D13" s="10" t="inlineStr">
        <is>
          <t>Sahip / İcra Direktörü</t>
        </is>
      </c>
      <c r="E13" s="10" t="inlineStr">
        <is>
          <t>Al Mana Group</t>
        </is>
      </c>
      <c r="F13" s="10" t="inlineStr">
        <is>
          <t>Katar (Doha)</t>
        </is>
      </c>
      <c r="G13" s="10" t="inlineStr">
        <is>
          <t>Katar'ın en büyük aile konglomeralarından (otomotiv, lüks perakende, F&amp;B, gayrimenkul)</t>
        </is>
      </c>
      <c r="H13" s="10" t="inlineStr">
        <is>
          <t>Düşük (sahip/başkan — uzun vade)</t>
        </is>
      </c>
      <c r="I13" s="11">
        <f>HYPERLINK("https://almana.com","almana.com")</f>
        <v/>
      </c>
      <c r="J13" s="11">
        <f>HYPERLINK("https://www.linkedin.com/search/results/people/?keywords=Hisham%20Al%20Mana","LinkedIn'de bul")</f>
        <v/>
      </c>
      <c r="K13" s="11" t="inlineStr"/>
      <c r="L13" s="10" t="inlineStr"/>
      <c r="M13" s="10" t="inlineStr"/>
      <c r="N13" s="10" t="inlineStr"/>
      <c r="O13" s="10" t="inlineStr"/>
      <c r="P13" s="11">
        <f>IF($O13="","", HYPERLINK("https://wa.me/"&amp;SUBSTITUTE(SUBSTITUTE(SUBSTITUTE($O13,"+",""),"-","")," ",""),"WhatsApp'ta Aç"))</f>
        <v/>
      </c>
      <c r="Q13" s="10" t="inlineStr"/>
      <c r="R13" s="11">
        <f>HYPERLINK("https://almana.com/contact-us/","İletişim/IR")</f>
        <v/>
      </c>
      <c r="S13" s="10" t="inlineStr">
        <is>
          <t>Özel şirket: santral + 'Office of the Chairman'/asistan (EA). Önce LinkedIn'de bağlan.</t>
        </is>
      </c>
      <c r="T13" s="8" t="inlineStr">
        <is>
          <t>Orta</t>
        </is>
      </c>
      <c r="U13" s="10" t="inlineStr">
        <is>
          <t>Al Mana kardeşler tarafından işletiliyor, hepsi aktif. Net servet belgesiz. | DOĞRULA: almana.com = S.H. Al Mana (sadece form). Büyük Al Mana Group almanagroup.com (group@almanagroup.com, +974 44489900). Hangisi hedef?</t>
        </is>
      </c>
      <c r="V13" s="11">
        <f>HYPERLINK("https://almana.com/about/","Kaynak")</f>
        <v/>
      </c>
    </row>
    <row r="14" ht="60" customHeight="1">
      <c r="A14" s="8" t="n">
        <v>13</v>
      </c>
      <c r="B14" s="10" t="inlineStr">
        <is>
          <t>Lojistik / denizcilik</t>
        </is>
      </c>
      <c r="C14" s="10" t="inlineStr">
        <is>
          <t>Khalid Mohamed Kanoo</t>
        </is>
      </c>
      <c r="D14" s="10" t="inlineStr">
        <is>
          <t>Başkan</t>
        </is>
      </c>
      <c r="E14" s="10" t="inlineStr">
        <is>
          <t>YBA Kanoo Group</t>
        </is>
      </c>
      <c r="F14" s="10" t="inlineStr">
        <is>
          <t>Bahreyn (Manama)</t>
        </is>
      </c>
      <c r="G14" s="10" t="inlineStr">
        <is>
          <t>Körfez'in en büyük bağımsız aile gruplarından (1890'dan beri; denizcilik, lojistik, petrol)</t>
        </is>
      </c>
      <c r="H14" s="10" t="inlineStr">
        <is>
          <t>Düşük (sahip/başkan — uzun vade)</t>
        </is>
      </c>
      <c r="I14" s="11">
        <f>HYPERLINK("https://www.kanoo.com","kanoo.com")</f>
        <v/>
      </c>
      <c r="J14" s="11">
        <f>HYPERLINK("https://www.linkedin.com/search/results/people/?keywords=Khalid%20Mohamed%20Kanoo","LinkedIn'de bul")</f>
        <v/>
      </c>
      <c r="K14" s="11">
        <f>HYPERLINK("https://www.linkedin.com/company/ybakanoo","Şirket sayfası")</f>
        <v/>
      </c>
      <c r="L14" s="10" t="inlineStr"/>
      <c r="M14" s="10" t="inlineStr"/>
      <c r="N14" s="10" t="inlineStr">
        <is>
          <t>+973 1722 0220</t>
        </is>
      </c>
      <c r="O14" s="10" t="inlineStr"/>
      <c r="P14" s="11">
        <f>IF($O14="","", HYPERLINK("https://wa.me/"&amp;SUBSTITUTE(SUBSTITUTE(SUBSTITUTE($O14,"+",""),"-","")," ",""),"WhatsApp'ta Aç"))</f>
        <v/>
      </c>
      <c r="Q14" s="10" t="inlineStr">
        <is>
          <t>@ybakanoo</t>
        </is>
      </c>
      <c r="R14" s="11">
        <f>HYPERLINK("https://www.kanoo.com/contact-us/","İletişim/IR")</f>
        <v/>
      </c>
      <c r="S14" s="10" t="inlineStr">
        <is>
          <t>Özel şirket: santral + 'Office of the Chairman'/asistan (EA). Önce LinkedIn'de bağlan.</t>
        </is>
      </c>
      <c r="T14" s="8" t="inlineStr">
        <is>
          <t>Orta</t>
        </is>
      </c>
      <c r="U14" s="10" t="inlineStr">
        <is>
          <t>Başkan; grup UAE/Oman/Saudi/Bahreyn'de aktif. Net servet belgesiz. | Genel mail yok; HQ Manama. Özel aile grubu.</t>
        </is>
      </c>
      <c r="V14" s="11">
        <f>HYPERLINK("https://www.zawya.com/en/world/middle-east/bahraini-groups-among-forbes-top-100-arab-family-businesses-jmtpobib","Kaynak")</f>
        <v/>
      </c>
    </row>
    <row r="15" ht="60" customHeight="1">
      <c r="A15" s="8" t="n">
        <v>14</v>
      </c>
      <c r="B15" s="10" t="inlineStr">
        <is>
          <t>Holding / otelcilik</t>
        </is>
      </c>
      <c r="C15" s="10" t="inlineStr">
        <is>
          <t>Farouk Almoayyed</t>
        </is>
      </c>
      <c r="D15" s="10" t="inlineStr">
        <is>
          <t>Kurucu &amp; Başkan</t>
        </is>
      </c>
      <c r="E15" s="10" t="inlineStr">
        <is>
          <t>Almoayyed International / Gulf Hotels</t>
        </is>
      </c>
      <c r="F15" s="10" t="inlineStr">
        <is>
          <t>Bahreyn (Manama)</t>
        </is>
      </c>
      <c r="G15" s="10" t="inlineStr">
        <is>
          <t>Bahreyn'in önde gelen sanayicilerinden; AIG kurucusu, Gulf Hotels Group başkanı</t>
        </is>
      </c>
      <c r="H15" s="10" t="inlineStr">
        <is>
          <t>Düşük (sahip/başkan — uzun vade)</t>
        </is>
      </c>
      <c r="I15" s="11">
        <f>HYPERLINK("https://www.aig.com.bh","aig.com.bh")</f>
        <v/>
      </c>
      <c r="J15" s="11">
        <f>HYPERLINK("https://www.linkedin.com/search/results/people/?keywords=Farouk%20Almoayyed","LinkedIn'de bul")</f>
        <v/>
      </c>
      <c r="K15" s="11">
        <f>HYPERLINK("https://www.linkedin.com/company/almoayyedintlgroup","Şirket sayfası")</f>
        <v/>
      </c>
      <c r="L15" s="10" t="inlineStr">
        <is>
          <t>info@almoayyedintl.com</t>
        </is>
      </c>
      <c r="M15" s="10" t="inlineStr"/>
      <c r="N15" s="10" t="inlineStr">
        <is>
          <t>+973 1770 0777</t>
        </is>
      </c>
      <c r="O15" s="10" t="inlineStr"/>
      <c r="P15" s="11">
        <f>IF($O15="","", HYPERLINK("https://wa.me/"&amp;SUBSTITUTE(SUBSTITUTE(SUBSTITUTE($O15,"+",""),"-","")," ",""),"WhatsApp'ta Aç"))</f>
        <v/>
      </c>
      <c r="Q15" s="10" t="inlineStr">
        <is>
          <t>@almoayyedinternationalgroup</t>
        </is>
      </c>
      <c r="R15" s="11">
        <f>HYPERLINK("https://www.almoayyedintl.com/contact-us/","İletişim/IR")</f>
        <v/>
      </c>
      <c r="S15" s="10" t="inlineStr">
        <is>
          <t>Özel şirket: santral + 'Office of the Chairman'/asistan (EA). Önce LinkedIn'de bağlan.</t>
        </is>
      </c>
      <c r="T15" s="8" t="inlineStr">
        <is>
          <t>Orta</t>
        </is>
      </c>
      <c r="U15" s="10" t="inlineStr">
        <is>
          <t>Başkan. DOĞRULA: güncel sağlık/görev durumunu teyit et. Net servet belgesiz. | DOĞRU SİTE: almoayyedintl.com (aig.com.bh yanıt vermedi). Alt mail: aigbah@almoayyedintl.com.bh.</t>
        </is>
      </c>
      <c r="V15" s="11">
        <f>HYPERLINK("https://www.marketscreener.com/business-leaders/Farouk-Yousuf-Khalil-Al-Moayyed-07F436-E/biography/","Kaynak")</f>
        <v/>
      </c>
    </row>
    <row r="16" ht="60" customHeight="1">
      <c r="A16" s="8" t="n">
        <v>15</v>
      </c>
      <c r="B16" s="10" t="inlineStr">
        <is>
          <t>Finans (İslami yatırım)</t>
        </is>
      </c>
      <c r="C16" s="10" t="inlineStr">
        <is>
          <t>Esam Janahi</t>
        </is>
      </c>
      <c r="D16" s="10" t="inlineStr">
        <is>
          <t>Kurucu &amp; Başkan</t>
        </is>
      </c>
      <c r="E16" s="10" t="inlineStr">
        <is>
          <t>GFH Financial Group</t>
        </is>
      </c>
      <c r="F16" s="10" t="inlineStr">
        <is>
          <t>Bahreyn (Manama)</t>
        </is>
      </c>
      <c r="G16" s="10" t="inlineStr">
        <is>
          <t>GFH kurucusu; çok milyar dolarlık projeler (Katar/Libya enerji şehirleri, Mumbai $10mlr bölge)</t>
        </is>
      </c>
      <c r="H16" s="10" t="inlineStr">
        <is>
          <t>Düşük (sahip/başkan — uzun vade)</t>
        </is>
      </c>
      <c r="I16" s="11">
        <f>HYPERLINK("https://www.gfh.com","gfh.com")</f>
        <v/>
      </c>
      <c r="J16" s="11">
        <f>HYPERLINK("https://www.linkedin.com/search/results/people/?keywords=Esam%20Janahi","LinkedIn'de bul")</f>
        <v/>
      </c>
      <c r="K16" s="11">
        <f>HYPERLINK("https://www.linkedin.com/company/gfh-financial-group","Şirket sayfası")</f>
        <v/>
      </c>
      <c r="L16" s="10" t="inlineStr"/>
      <c r="M16" s="10" t="inlineStr"/>
      <c r="N16" s="10" t="inlineStr">
        <is>
          <t>+973 17538538</t>
        </is>
      </c>
      <c r="O16" s="10" t="inlineStr"/>
      <c r="P16" s="11">
        <f>IF($O16="","", HYPERLINK("https://wa.me/"&amp;SUBSTITUTE(SUBSTITUTE(SUBSTITUTE($O16,"+",""),"-","")," ",""),"WhatsApp'ta Aç"))</f>
        <v/>
      </c>
      <c r="Q16" s="10" t="inlineStr">
        <is>
          <t>@gfh_bahrain</t>
        </is>
      </c>
      <c r="R16" s="11">
        <f>HYPERLINK("https://www.gfh.com/investor-relations","İletişim/IR")</f>
        <v/>
      </c>
      <c r="S16" s="10" t="inlineStr">
        <is>
          <t>Özel şirket: santral + 'Office of the Chairman'/asistan (EA). Önce LinkedIn'de bağlan.</t>
        </is>
      </c>
      <c r="T16" s="15" t="inlineStr">
        <is>
          <t>Yüksek</t>
        </is>
      </c>
      <c r="U16" s="10" t="inlineStr">
        <is>
          <t>Kurucu/uzun dönem başkan. DOĞRULA: güncel yönetim kurulu unvanını teyit et. | Listeli (Bahreyn/Dubai/Kuveyt). Site fetch'i engelledi; IR maili sayfada teyit et.</t>
        </is>
      </c>
      <c r="V16" s="11">
        <f>HYPERLINK("https://www.arabianbusiness.com/lists/listitemid150876","Kaynak")</f>
        <v/>
      </c>
    </row>
    <row r="17" ht="60" customHeight="1">
      <c r="A17" s="8" t="n">
        <v>16</v>
      </c>
      <c r="B17" s="10" t="inlineStr">
        <is>
          <t>Enerji / madencilik</t>
        </is>
      </c>
      <c r="C17" s="10" t="inlineStr">
        <is>
          <t>Mohammed Al Barwani</t>
        </is>
      </c>
      <c r="D17" s="10" t="inlineStr">
        <is>
          <t>Kurucu &amp; Başkan</t>
        </is>
      </c>
      <c r="E17" s="10" t="inlineStr">
        <is>
          <t>MB Holding</t>
        </is>
      </c>
      <c r="F17" s="10" t="inlineStr">
        <is>
          <t>Umman (Maskat)</t>
        </is>
      </c>
      <c r="G17" s="10" t="inlineStr">
        <is>
          <t>Forbes milyarderi; ~$1.0-1.2 milyar; petrol&amp;gaz, madencilik (Petrogas, Mawarid)</t>
        </is>
      </c>
      <c r="H17" s="10" t="inlineStr">
        <is>
          <t>Düşük (sahip/başkan — uzun vade)</t>
        </is>
      </c>
      <c r="I17" s="11">
        <f>HYPERLINK("https://mbholdingco.com","mbholdingco.com")</f>
        <v/>
      </c>
      <c r="J17" s="11">
        <f>HYPERLINK("https://www.linkedin.com/search/results/people/?keywords=Mohammed%20Al%20Barwani","LinkedIn'de bul")</f>
        <v/>
      </c>
      <c r="K17" s="11" t="inlineStr"/>
      <c r="L17" s="10" t="inlineStr">
        <is>
          <t>mboman@mbholdingco.com</t>
        </is>
      </c>
      <c r="M17" s="10" t="inlineStr"/>
      <c r="N17" s="10" t="inlineStr">
        <is>
          <t>+968 24580470</t>
        </is>
      </c>
      <c r="O17" s="10" t="inlineStr"/>
      <c r="P17" s="11">
        <f>IF($O17="","", HYPERLINK("https://wa.me/"&amp;SUBSTITUTE(SUBSTITUTE(SUBSTITUTE($O17,"+",""),"-","")," ",""),"WhatsApp'ta Aç"))</f>
        <v/>
      </c>
      <c r="Q17" s="10" t="inlineStr"/>
      <c r="R17" s="11">
        <f>HYPERLINK("https://www.mbholdingco.com/contact-us/","İletişim/IR")</f>
        <v/>
      </c>
      <c r="S17" s="10" t="inlineStr">
        <is>
          <t>Özel şirket: santral + 'Office of the Chairman'/asistan (EA). Önce LinkedIn'de bağlan.</t>
        </is>
      </c>
      <c r="T17" s="15" t="inlineStr">
        <is>
          <t>Yüksek</t>
        </is>
      </c>
      <c r="U17" s="10" t="inlineStr">
        <is>
          <t>Yaşıyor, aktif (2024-2025). | Umman. Özel.</t>
        </is>
      </c>
      <c r="V17" s="11">
        <f>HYPERLINK("https://en.wikipedia.org/wiki/Mohammed_Al_Barwani","Kaynak")</f>
        <v/>
      </c>
    </row>
    <row r="18" ht="60" customHeight="1">
      <c r="A18" s="8" t="n">
        <v>17</v>
      </c>
      <c r="B18" s="10" t="inlineStr">
        <is>
          <t>Sanayi / enerji</t>
        </is>
      </c>
      <c r="C18" s="10" t="inlineStr">
        <is>
          <t>Rashad Al Zubair</t>
        </is>
      </c>
      <c r="D18" s="10" t="inlineStr">
        <is>
          <t>Başkan</t>
        </is>
      </c>
      <c r="E18" s="10" t="inlineStr">
        <is>
          <t>The Zubair Corporation</t>
        </is>
      </c>
      <c r="F18" s="10" t="inlineStr">
        <is>
          <t>Umman (Maskat)</t>
        </is>
      </c>
      <c r="G18" s="10" t="inlineStr">
        <is>
          <t>Umman'ın en büyük aile gruplarından (50+ şirket: sanayi, enerji, FMCG, gayrimenkul)</t>
        </is>
      </c>
      <c r="H18" s="10" t="inlineStr">
        <is>
          <t>Düşük (sahip/başkan — uzun vade)</t>
        </is>
      </c>
      <c r="I18" s="11">
        <f>HYPERLINK("https://www.zubaircorp.com","zubaircorp.com")</f>
        <v/>
      </c>
      <c r="J18" s="11">
        <f>HYPERLINK("https://www.linkedin.com/search/results/people/?keywords=Rashad%20Al%20Zubair","LinkedIn'de bul")</f>
        <v/>
      </c>
      <c r="K18" s="11">
        <f>HYPERLINK("https://www.linkedin.com/company/thezubaircorporation","Şirket sayfası")</f>
        <v/>
      </c>
      <c r="L18" s="10" t="inlineStr"/>
      <c r="M18" s="10" t="inlineStr"/>
      <c r="N18" s="10" t="inlineStr"/>
      <c r="O18" s="10" t="inlineStr"/>
      <c r="P18" s="11">
        <f>IF($O18="","", HYPERLINK("https://wa.me/"&amp;SUBSTITUTE(SUBSTITUTE(SUBSTITUTE($O18,"+",""),"-","")," ",""),"WhatsApp'ta Aç"))</f>
        <v/>
      </c>
      <c r="Q18" s="10" t="inlineStr">
        <is>
          <t>@zubair_corp</t>
        </is>
      </c>
      <c r="R18" s="11">
        <f>HYPERLINK("https://www.zubaircorp.com/","İletişim/IR")</f>
        <v/>
      </c>
      <c r="S18" s="10" t="inlineStr">
        <is>
          <t>Özel şirket: santral + 'Office of the Chairman'/asistan (EA). Önce LinkedIn'de bağlan.</t>
        </is>
      </c>
      <c r="T18" s="8" t="inlineStr">
        <is>
          <t>Orta</t>
        </is>
      </c>
      <c r="U18" s="10" t="inlineStr">
        <is>
          <t>Başkan, aktif (2025). Net servet belgesiz. | Site JS; mail/telefon sayfada teyit et. HQ Maskat.</t>
        </is>
      </c>
      <c r="V18" s="11">
        <f>HYPERLINK("https://www.familybusinesshistories.org/spotlights/the-zubair-corporation/","Kaynak")</f>
        <v/>
      </c>
    </row>
    <row r="19" ht="60" customHeight="1">
      <c r="A19" s="8" t="n">
        <v>18</v>
      </c>
      <c r="B19" s="10" t="inlineStr">
        <is>
          <t>Otomotiv</t>
        </is>
      </c>
      <c r="C19" s="10" t="inlineStr">
        <is>
          <t>Mohammed Saud Bahwan</t>
        </is>
      </c>
      <c r="D19" s="10" t="inlineStr">
        <is>
          <t>Başkan</t>
        </is>
      </c>
      <c r="E19" s="10" t="inlineStr">
        <is>
          <t>Saud Bahwan Group</t>
        </is>
      </c>
      <c r="F19" s="10" t="inlineStr">
        <is>
          <t>Umman (Maskat)</t>
        </is>
      </c>
      <c r="G19" s="10" t="inlineStr">
        <is>
          <t>Umman'ın en büyük konglomeralarından (50 yıllık Toyota distribütörü, otomotiv, gayrimenkul)</t>
        </is>
      </c>
      <c r="H19" s="10" t="inlineStr">
        <is>
          <t>Düşük (sahip/başkan — uzun vade)</t>
        </is>
      </c>
      <c r="I19" s="11">
        <f>HYPERLINK("https://saudbahwangroup.com","saudbahwangroup.com")</f>
        <v/>
      </c>
      <c r="J19" s="11">
        <f>HYPERLINK("https://www.linkedin.com/search/results/people/?keywords=Mohammed%20Saud%20Bahwan","LinkedIn'de bul")</f>
        <v/>
      </c>
      <c r="K19" s="11">
        <f>HYPERLINK("https://www.linkedin.com/company/saud-bahwan-group-llc","Şirket sayfası")</f>
        <v/>
      </c>
      <c r="L19" s="10" t="inlineStr">
        <is>
          <t>sbgroup@omantel.net.om</t>
        </is>
      </c>
      <c r="M19" s="10" t="inlineStr"/>
      <c r="N19" s="10" t="inlineStr">
        <is>
          <t>+968 24578000</t>
        </is>
      </c>
      <c r="O19" s="10" t="inlineStr"/>
      <c r="P19" s="11">
        <f>IF($O19="","", HYPERLINK("https://wa.me/"&amp;SUBSTITUTE(SUBSTITUTE(SUBSTITUTE($O19,"+",""),"-","")," ",""),"WhatsApp'ta Aç"))</f>
        <v/>
      </c>
      <c r="Q19" s="10" t="inlineStr"/>
      <c r="R19" s="11">
        <f>HYPERLINK("https://www.saudbahwangroup.com/contact-us","İletişim/IR")</f>
        <v/>
      </c>
      <c r="S19" s="10" t="inlineStr">
        <is>
          <t>Özel şirket: santral + 'Office of the Chairman'/asistan (EA). Önce LinkedIn'de bağlan.</t>
        </is>
      </c>
      <c r="T19" s="8" t="inlineStr">
        <is>
          <t>Orta</t>
        </is>
      </c>
      <c r="U19" s="10" t="inlineStr">
        <is>
          <t>Mevcut başkan (kurucu 2008'de vefat etti). Aktif. Net servet belgesiz. | Umman. Özel.</t>
        </is>
      </c>
      <c r="V19" s="11">
        <f>HYPERLINK("https://www.toyotaoman.com/corporate/about-sbg/","Kaynak")</f>
        <v/>
      </c>
    </row>
    <row r="20" ht="60" customHeight="1">
      <c r="A20" s="8" t="n">
        <v>19</v>
      </c>
      <c r="B20" s="10" t="inlineStr">
        <is>
          <t>Yatırım / holding</t>
        </is>
      </c>
      <c r="C20" s="10" t="inlineStr">
        <is>
          <t>Prince Alwaleed bin Talal</t>
        </is>
      </c>
      <c r="D20" s="10" t="inlineStr">
        <is>
          <t>Kurucu &amp; Başkan</t>
        </is>
      </c>
      <c r="E20" s="10" t="inlineStr">
        <is>
          <t>Kingdom Holding</t>
        </is>
      </c>
      <c r="F20" s="10" t="inlineStr">
        <is>
          <t>Suudi Arabistan (Riyad)</t>
        </is>
      </c>
      <c r="G20" s="10" t="inlineStr">
        <is>
          <t>Forbes milyarderi; Forbes 2025 en zengin Suudi (~$16.5 milyar)</t>
        </is>
      </c>
      <c r="H20" s="10" t="inlineStr">
        <is>
          <t>Düşük (sahip/başkan — uzun vade)</t>
        </is>
      </c>
      <c r="I20" s="11">
        <f>HYPERLINK("https://www.kingdom.com.sa","kingdom.com.sa")</f>
        <v/>
      </c>
      <c r="J20" s="11">
        <f>HYPERLINK("https://www.linkedin.com/search/results/people/?keywords=Prince%20Alwaleed%20bin%20Talal","LinkedIn'de bul")</f>
        <v/>
      </c>
      <c r="K20" s="11">
        <f>HYPERLINK("https://www.linkedin.com/company/kingdom-holding-company_985798/","Şirket sayfası")</f>
        <v/>
      </c>
      <c r="L20" s="10" t="inlineStr">
        <is>
          <t>media@kingdom.com.sa</t>
        </is>
      </c>
      <c r="M20" s="10" t="inlineStr">
        <is>
          <t>investor.relations@kingdom.com.sa</t>
        </is>
      </c>
      <c r="N20" s="10" t="inlineStr">
        <is>
          <t>+966 11 211 1111</t>
        </is>
      </c>
      <c r="O20" s="10" t="inlineStr"/>
      <c r="P20" s="11">
        <f>IF($O20="","", HYPERLINK("https://wa.me/"&amp;SUBSTITUTE(SUBSTITUTE(SUBSTITUTE($O20,"+",""),"-","")," ",""),"WhatsApp'ta Aç"))</f>
        <v/>
      </c>
      <c r="Q20" s="10" t="inlineStr"/>
      <c r="R20" s="11">
        <f>HYPERLINK("https://kingdom.com.sa/investor-relations/contact-ir","İletişim/IR")</f>
        <v/>
      </c>
      <c r="S20" s="10" t="inlineStr">
        <is>
          <t>Özel şirket: santral + 'Office of the Chairman'/asistan (EA). Önce LinkedIn'de bağlan.</t>
        </is>
      </c>
      <c r="T20" s="15" t="inlineStr">
        <is>
          <t>Yüksek</t>
        </is>
      </c>
      <c r="U20" s="10" t="inlineStr">
        <is>
          <t>Yaşıyor; 2027'ye dek başkan, aktif (Aralık 2025 haberleri). | Listeli. careers@kingdom.com.sa. X: @kingdom_khc.</t>
        </is>
      </c>
      <c r="V20" s="11">
        <f>HYPERLINK("https://www.argaam.com/en/article/articledetail/id/1737706","Kaynak")</f>
        <v/>
      </c>
    </row>
    <row r="21" ht="60" customHeight="1">
      <c r="A21" s="8" t="n">
        <v>20</v>
      </c>
      <c r="B21" s="10" t="inlineStr">
        <is>
          <t>Sağlık</t>
        </is>
      </c>
      <c r="C21" s="10" t="inlineStr">
        <is>
          <t>Dr. Sulaiman Al Habib</t>
        </is>
      </c>
      <c r="D21" s="10" t="inlineStr">
        <is>
          <t>Kurucu &amp; Başkan</t>
        </is>
      </c>
      <c r="E21" s="10" t="inlineStr">
        <is>
          <t>Dr. Sulaiman Al Habib Medical (HMG)</t>
        </is>
      </c>
      <c r="F21" s="10" t="inlineStr">
        <is>
          <t>Suudi Arabistan (Riyad)</t>
        </is>
      </c>
      <c r="G21" s="10" t="inlineStr">
        <is>
          <t>Forbes milyarderi 2025 (~$10.9 milyar), 2. en zengin Suudi; HMG ~$24 milyar değer</t>
        </is>
      </c>
      <c r="H21" s="10" t="inlineStr">
        <is>
          <t>Düşük (sahip/başkan — uzun vade)</t>
        </is>
      </c>
      <c r="I21" s="11">
        <f>HYPERLINK("https://hmg.com","hmg.com")</f>
        <v/>
      </c>
      <c r="J21" s="11">
        <f>HYPERLINK("https://www.linkedin.com/search/results/people/?keywords=Dr.%20Sulaiman%20Al%20Habib","LinkedIn'de bul")</f>
        <v/>
      </c>
      <c r="K21" s="11">
        <f>HYPERLINK("https://www.linkedin.com/company/drsulaiman-alhabib-medical-group","Şirket sayfası")</f>
        <v/>
      </c>
      <c r="L21" s="10" t="inlineStr"/>
      <c r="M21" s="10" t="inlineStr"/>
      <c r="N21" s="10" t="inlineStr">
        <is>
          <t>+966 16 316 6666</t>
        </is>
      </c>
      <c r="O21" s="10" t="inlineStr"/>
      <c r="P21" s="11">
        <f>IF($O21="","", HYPERLINK("https://wa.me/"&amp;SUBSTITUTE(SUBSTITUTE(SUBSTITUTE($O21,"+",""),"-","")," ",""),"WhatsApp'ta Aç"))</f>
        <v/>
      </c>
      <c r="Q21" s="10" t="inlineStr"/>
      <c r="R21" s="11">
        <f>HYPERLINK("https://hmg.com/ir/en/pages/home.aspx","İletişim/IR")</f>
        <v/>
      </c>
      <c r="S21" s="10" t="inlineStr">
        <is>
          <t>Özel şirket: santral + 'Office of the Chairman'/asistan (EA). Önce LinkedIn'de bağlan.</t>
        </is>
      </c>
      <c r="T21" s="15" t="inlineStr">
        <is>
          <t>Yüksek</t>
        </is>
      </c>
      <c r="U21" s="10" t="inlineStr">
        <is>
          <t>Yaşıyor, aktif başkan (2025). | Listeli (4013). IR sayfası JS; mail sayfada teyit et. IR: Ziyad Al Dahami.</t>
        </is>
      </c>
      <c r="V21" s="11">
        <f>HYPERLINK("https://www.cbinsights.com/company/dr-sulaiman-al-habib-medical-group","Kaynak")</f>
        <v/>
      </c>
    </row>
    <row r="22" ht="60" customHeight="1">
      <c r="A22" s="8" t="n">
        <v>21</v>
      </c>
      <c r="B22" s="10" t="inlineStr">
        <is>
          <t>Holding / gıda</t>
        </is>
      </c>
      <c r="C22" s="10" t="inlineStr">
        <is>
          <t>Sulaiman Al Muhaidib</t>
        </is>
      </c>
      <c r="D22" s="10" t="inlineStr">
        <is>
          <t>Başkan</t>
        </is>
      </c>
      <c r="E22" s="10" t="inlineStr">
        <is>
          <t>Al Muhaidib Group</t>
        </is>
      </c>
      <c r="F22" s="10" t="inlineStr">
        <is>
          <t>Suudi Arabistan (Khobar)</t>
        </is>
      </c>
      <c r="G22" s="10" t="inlineStr">
        <is>
          <t>Aile Forbes 2025'te (~$3.6-3.8 milyar); grup geliri $9 milyar üzeri; Savola ana hissedarı</t>
        </is>
      </c>
      <c r="H22" s="10" t="inlineStr">
        <is>
          <t>Düşük (sahip/başkan — uzun vade)</t>
        </is>
      </c>
      <c r="I22" s="11">
        <f>HYPERLINK("https://muhaidib.com","muhaidib.com")</f>
        <v/>
      </c>
      <c r="J22" s="11">
        <f>HYPERLINK("https://www.linkedin.com/search/results/people/?keywords=Sulaiman%20Al%20Muhaidib","LinkedIn'de bul")</f>
        <v/>
      </c>
      <c r="K22" s="11">
        <f>HYPERLINK("https://www.linkedin.com/company/al-muhaidib-group","Şirket sayfası")</f>
        <v/>
      </c>
      <c r="L22" s="10" t="inlineStr">
        <is>
          <t>info@muhaidib.com</t>
        </is>
      </c>
      <c r="M22" s="10" t="inlineStr"/>
      <c r="N22" s="10" t="inlineStr">
        <is>
          <t>+966 13 845 5555</t>
        </is>
      </c>
      <c r="O22" s="10" t="inlineStr"/>
      <c r="P22" s="11">
        <f>IF($O22="","", HYPERLINK("https://wa.me/"&amp;SUBSTITUTE(SUBSTITUTE(SUBSTITUTE($O22,"+",""),"-","")," ",""),"WhatsApp'ta Aç"))</f>
        <v/>
      </c>
      <c r="Q22" s="10" t="inlineStr"/>
      <c r="R22" s="11">
        <f>HYPERLINK("https://muhaidib.com/en/category/contact","İletişim/IR")</f>
        <v/>
      </c>
      <c r="S22" s="10" t="inlineStr">
        <is>
          <t>Özel şirket: santral + 'Office of the Chairman'/asistan (EA). Önce LinkedIn'de bağlan.</t>
        </is>
      </c>
      <c r="T22" s="15" t="inlineStr">
        <is>
          <t>Yüksek</t>
        </is>
      </c>
      <c r="U22" s="10" t="inlineStr">
        <is>
          <t>Yaşıyor, aktif; Savola başkanı, Almarai başkan yardımcısı. | Riyad +966 11 263 6000. Özel.</t>
        </is>
      </c>
      <c r="V22" s="11">
        <f>HYPERLINK("https://muhaidib.com/en/category/board-of-directors","Kaynak")</f>
        <v/>
      </c>
    </row>
    <row r="23" ht="60" customHeight="1">
      <c r="A23" s="8" t="n">
        <v>22</v>
      </c>
      <c r="B23" s="10" t="inlineStr">
        <is>
          <t>Sağlık / eczane</t>
        </is>
      </c>
      <c r="C23" s="10" t="inlineStr">
        <is>
          <t>Abdullah Al Nahdi</t>
        </is>
      </c>
      <c r="D23" s="10" t="inlineStr">
        <is>
          <t>Kurucu &amp; Başkan Yardımcısı</t>
        </is>
      </c>
      <c r="E23" s="10" t="inlineStr">
        <is>
          <t>Nahdi Medical</t>
        </is>
      </c>
      <c r="F23" s="10" t="inlineStr">
        <is>
          <t>Suudi Arabistan (Cidde)</t>
        </is>
      </c>
      <c r="G23" s="10" t="inlineStr">
        <is>
          <t>Forbes milyarderi 2025 (~$2.3 milyar); Suudi'nin en büyük eczane zinciri, Tadawul'da listeli</t>
        </is>
      </c>
      <c r="H23" s="10" t="inlineStr">
        <is>
          <t>Düşük (sahip/başkan — uzun vade)</t>
        </is>
      </c>
      <c r="I23" s="11">
        <f>HYPERLINK("https://nahdi.sa","nahdi.sa")</f>
        <v/>
      </c>
      <c r="J23" s="11">
        <f>HYPERLINK("https://www.linkedin.com/search/results/people/?keywords=Abdullah%20Al%20Nahdi","LinkedIn'de bul")</f>
        <v/>
      </c>
      <c r="K23" s="11">
        <f>HYPERLINK("https://www.linkedin.com/company/al-nahdi-medical-co-/","Şirket sayfası")</f>
        <v/>
      </c>
      <c r="L23" s="10" t="inlineStr">
        <is>
          <t>IR@nahdi.sa</t>
        </is>
      </c>
      <c r="M23" s="10" t="inlineStr">
        <is>
          <t>IR@nahdi.sa</t>
        </is>
      </c>
      <c r="N23" s="10" t="inlineStr">
        <is>
          <t>+966 12 653 5353</t>
        </is>
      </c>
      <c r="O23" s="10" t="inlineStr"/>
      <c r="P23" s="11">
        <f>IF($O23="","", HYPERLINK("https://wa.me/"&amp;SUBSTITUTE(SUBSTITUTE(SUBSTITUTE($O23,"+",""),"-","")," ",""),"WhatsApp'ta Aç"))</f>
        <v/>
      </c>
      <c r="Q23" s="10" t="inlineStr"/>
      <c r="R23" s="11">
        <f>HYPERLINK("https://investors.nahdi.sa/en/contact-us/","İletişim/IR")</f>
        <v/>
      </c>
      <c r="S23" s="10" t="inlineStr">
        <is>
          <t>Halka açık: IR maili üzerinden kurumsal giriş + 'Office of the Chairman'/asistan (EA).</t>
        </is>
      </c>
      <c r="T23" s="15" t="inlineStr">
        <is>
          <t>Yüksek</t>
        </is>
      </c>
      <c r="U23" s="10" t="inlineStr">
        <is>
          <t>Yaşıyor, aktif (2025). | Listeli. IR cep: +966 55 631 5822.</t>
        </is>
      </c>
      <c r="V23" s="11">
        <f>HYPERLINK("https://www.sahmcapital.com/news/content/15-saudi-billionaires-forbes-2025","Kaynak")</f>
        <v/>
      </c>
    </row>
    <row r="24" ht="60" customHeight="1">
      <c r="A24" s="8" t="n">
        <v>23</v>
      </c>
      <c r="B24" s="10" t="inlineStr">
        <is>
          <t>Medya</t>
        </is>
      </c>
      <c r="C24" s="10" t="inlineStr">
        <is>
          <t>Waleed Al Ibrahim</t>
        </is>
      </c>
      <c r="D24" s="10" t="inlineStr">
        <is>
          <t>Kurucu &amp; Başkan</t>
        </is>
      </c>
      <c r="E24" s="10" t="inlineStr">
        <is>
          <t>MBC Group</t>
        </is>
      </c>
      <c r="F24" s="10" t="inlineStr">
        <is>
          <t>Suudi Arabistan (Riyad)</t>
        </is>
      </c>
      <c r="G24" s="10" t="inlineStr">
        <is>
          <t>Forbes milyarderi 2025 (~$1.4 milyar); MENA'nın en büyük medya ağı kurucusu</t>
        </is>
      </c>
      <c r="H24" s="10" t="inlineStr">
        <is>
          <t>Düşük (sahip/başkan — uzun vade)</t>
        </is>
      </c>
      <c r="I24" s="11">
        <f>HYPERLINK("https://www.mbc.net","mbc.net")</f>
        <v/>
      </c>
      <c r="J24" s="11">
        <f>HYPERLINK("https://www.linkedin.com/search/results/people/?keywords=Waleed%20Al%20Ibrahim","LinkedIn'de bul")</f>
        <v/>
      </c>
      <c r="K24" s="11">
        <f>HYPERLINK("https://www.linkedin.com/company/mbcgroup/","Şirket sayfası")</f>
        <v/>
      </c>
      <c r="L24" s="10" t="inlineStr">
        <is>
          <t>care@mbc.net</t>
        </is>
      </c>
      <c r="M24" s="10" t="inlineStr">
        <is>
          <t>Investor.relations@mbc.net</t>
        </is>
      </c>
      <c r="N24" s="10" t="inlineStr">
        <is>
          <t>+966 11 268 4444</t>
        </is>
      </c>
      <c r="O24" s="10" t="inlineStr"/>
      <c r="P24" s="11">
        <f>IF($O24="","", HYPERLINK("https://wa.me/"&amp;SUBSTITUTE(SUBSTITUTE(SUBSTITUTE($O24,"+",""),"-","")," ",""),"WhatsApp'ta Aç"))</f>
        <v/>
      </c>
      <c r="Q24" s="10" t="inlineStr">
        <is>
          <t>@mbcgroup</t>
        </is>
      </c>
      <c r="R24" s="11">
        <f>HYPERLINK("https://www.mbc.net/contact-us","İletişim/IR")</f>
        <v/>
      </c>
      <c r="S24" s="10" t="inlineStr">
        <is>
          <t>Özel şirket: santral + 'Office of the Chairman'/asistan (EA). Önce LinkedIn'de bağlan.</t>
        </is>
      </c>
      <c r="T24" s="15" t="inlineStr">
        <is>
          <t>Yüksek</t>
        </is>
      </c>
      <c r="U24" s="10" t="inlineStr">
        <is>
          <t>Yaşıyor, aktif (2025). | Listeli. Basın: contact@mbc.net. Dubai ofis +971 4 391 9999.</t>
        </is>
      </c>
      <c r="V24" s="11">
        <f>HYPERLINK("https://en.wikipedia.org/wiki/Waleed_bin_Ibrahim_Al_Ibrahim","Kaynak")</f>
        <v/>
      </c>
    </row>
    <row r="25" ht="60" customHeight="1">
      <c r="A25" s="8" t="n">
        <v>24</v>
      </c>
      <c r="B25" s="10" t="inlineStr">
        <is>
          <t>İnşaat / sanayi</t>
        </is>
      </c>
      <c r="C25" s="10" t="inlineStr">
        <is>
          <t>Abdullah Al Fozan</t>
        </is>
      </c>
      <c r="D25" s="10" t="inlineStr">
        <is>
          <t>Başkan</t>
        </is>
      </c>
      <c r="E25" s="10" t="inlineStr">
        <is>
          <t>Al Fozan Holding</t>
        </is>
      </c>
      <c r="F25" s="10" t="inlineStr">
        <is>
          <t>Suudi Arabistan (Khobar)</t>
        </is>
      </c>
      <c r="G25" s="10" t="inlineStr">
        <is>
          <t>Suudi'nin en büyük özel konglomeralarından (yapı malzemeleri, çelik, perakende, gayrimenkul)</t>
        </is>
      </c>
      <c r="H25" s="10" t="inlineStr">
        <is>
          <t>Düşük (sahip/başkan — uzun vade)</t>
        </is>
      </c>
      <c r="I25" s="11">
        <f>HYPERLINK("https://alfozan.com","alfozan.com")</f>
        <v/>
      </c>
      <c r="J25" s="11">
        <f>HYPERLINK("https://www.linkedin.com/search/results/people/?keywords=Abdullah%20Al%20Fozan","LinkedIn'de bul")</f>
        <v/>
      </c>
      <c r="K25" s="11">
        <f>HYPERLINK("https://www.linkedin.com/company/alfozanholding","Şirket sayfası")</f>
        <v/>
      </c>
      <c r="L25" s="10" t="inlineStr">
        <is>
          <t>info@alfozan.com</t>
        </is>
      </c>
      <c r="M25" s="10" t="inlineStr"/>
      <c r="N25" s="10" t="inlineStr">
        <is>
          <t>+966 13 894 0909</t>
        </is>
      </c>
      <c r="O25" s="10" t="inlineStr"/>
      <c r="P25" s="11">
        <f>IF($O25="","", HYPERLINK("https://wa.me/"&amp;SUBSTITUTE(SUBSTITUTE(SUBSTITUTE($O25,"+",""),"-","")," ",""),"WhatsApp'ta Aç"))</f>
        <v/>
      </c>
      <c r="Q25" s="10" t="inlineStr">
        <is>
          <t>@alfozanholding</t>
        </is>
      </c>
      <c r="R25" s="11">
        <f>HYPERLINK("https://alfozan.com/contact-us","İletişim/IR")</f>
        <v/>
      </c>
      <c r="S25" s="10" t="inlineStr">
        <is>
          <t>Özel şirket: santral + 'Office of the Chairman'/asistan (EA). Önce LinkedIn'de bağlan.</t>
        </is>
      </c>
      <c r="T25" s="8" t="inlineStr">
        <is>
          <t>Orta</t>
        </is>
      </c>
      <c r="U25" s="10" t="inlineStr">
        <is>
          <t>Yaşıyor, aktif başkan (2009'dan beri). | Toll 8003022222. Özel.</t>
        </is>
      </c>
      <c r="V25" s="11">
        <f>HYPERLINK("https://alfozan.com/chairman-message","Kaynak")</f>
        <v/>
      </c>
    </row>
    <row r="26" ht="60" customHeight="1">
      <c r="A26" s="8" t="n">
        <v>25</v>
      </c>
      <c r="B26" s="10" t="inlineStr">
        <is>
          <t>Otomotiv / yatırım</t>
        </is>
      </c>
      <c r="C26" s="10" t="inlineStr">
        <is>
          <t>Mohammed Abdul Latif Jameel</t>
        </is>
      </c>
      <c r="D26" s="10" t="inlineStr">
        <is>
          <t>Başkan &amp; CEO</t>
        </is>
      </c>
      <c r="E26" s="10" t="inlineStr">
        <is>
          <t>Abdul Latif Jameel (ALJ)</t>
        </is>
      </c>
      <c r="F26" s="10" t="inlineStr">
        <is>
          <t>Suudi Arabistan (Cidde)</t>
        </is>
      </c>
      <c r="G26" s="10" t="inlineStr">
        <is>
          <t>Aile sahipli ALJ (1955'ten Toyota distribütörü, 35+ ülke); Community Jameel kurucusu</t>
        </is>
      </c>
      <c r="H26" s="10" t="inlineStr">
        <is>
          <t>Düşük (sahip/başkan — uzun vade)</t>
        </is>
      </c>
      <c r="I26" s="11">
        <f>HYPERLINK("https://alj.com","alj.com")</f>
        <v/>
      </c>
      <c r="J26" s="11">
        <f>HYPERLINK("https://www.linkedin.com/search/results/people/?keywords=Mohammed%20Abdul%20Latif%20Jameel","LinkedIn'de bul")</f>
        <v/>
      </c>
      <c r="K26" s="11">
        <f>HYPERLINK("https://www.linkedin.com/company/17866","Şirket sayfası")</f>
        <v/>
      </c>
      <c r="L26" s="10" t="inlineStr"/>
      <c r="M26" s="10" t="inlineStr"/>
      <c r="N26" s="10" t="inlineStr"/>
      <c r="O26" s="10" t="inlineStr"/>
      <c r="P26" s="11">
        <f>IF($O26="","", HYPERLINK("https://wa.me/"&amp;SUBSTITUTE(SUBSTITUTE(SUBSTITUTE($O26,"+",""),"-","")," ",""),"WhatsApp'ta Aç"))</f>
        <v/>
      </c>
      <c r="Q26" s="10" t="inlineStr">
        <is>
          <t>@abdul_latif_jameel_official</t>
        </is>
      </c>
      <c r="R26" s="11">
        <f>HYPERLINK("https://alj.com/en/contact/","İletişim/IR")</f>
        <v/>
      </c>
      <c r="S26" s="10" t="inlineStr">
        <is>
          <t>Özel şirket: santral + 'Office of the Chairman'/asistan (EA). Önce LinkedIn'de bağlan.</t>
        </is>
      </c>
      <c r="T26" s="8" t="inlineStr">
        <is>
          <t>Orta</t>
        </is>
      </c>
      <c r="U26" s="10" t="inlineStr">
        <is>
          <t>Yaşıyor, aktif başkan &amp; CEO (2025, 80. yıl). | Sadece form; mail/telefon yayınlamıyor. Özel.</t>
        </is>
      </c>
      <c r="V26" s="11">
        <f>HYPERLINK("https://alj.com/en/our-people/mohammed-abdul-latif-jameel/","Kaynak")</f>
        <v/>
      </c>
    </row>
    <row r="27" ht="60" customHeight="1">
      <c r="A27" s="8" t="n">
        <v>26</v>
      </c>
      <c r="B27" s="10" t="inlineStr">
        <is>
          <t>Perakende / market</t>
        </is>
      </c>
      <c r="C27" s="10" t="inlineStr">
        <is>
          <t>Abdullah Al Othaim</t>
        </is>
      </c>
      <c r="D27" s="10" t="inlineStr">
        <is>
          <t>Kurucu &amp; Başkan</t>
        </is>
      </c>
      <c r="E27" s="10" t="inlineStr">
        <is>
          <t>Al-Othaim Markets</t>
        </is>
      </c>
      <c r="F27" s="10" t="inlineStr">
        <is>
          <t>Suudi Arabistan (Riyad)</t>
        </is>
      </c>
      <c r="G27" s="10" t="inlineStr">
        <is>
          <t>Suudi'nin en büyük perakende zincirlerinden (~476 şube, Tadawul); ~$2.5 milyar</t>
        </is>
      </c>
      <c r="H27" s="10" t="inlineStr">
        <is>
          <t>Düşük (sahip/başkan — uzun vade)</t>
        </is>
      </c>
      <c r="I27" s="11">
        <f>HYPERLINK("https://www.othaimmarkets.com","othaimmarkets.com")</f>
        <v/>
      </c>
      <c r="J27" s="11">
        <f>HYPERLINK("https://www.linkedin.com/search/results/people/?keywords=Abdullah%20Al%20Othaim","LinkedIn'de bul")</f>
        <v/>
      </c>
      <c r="K27" s="11">
        <f>HYPERLINK("https://www.linkedin.com/company/othaim-markets-company","Şirket sayfası")</f>
        <v/>
      </c>
      <c r="L27" s="10" t="inlineStr">
        <is>
          <t>ir@othaimmarkets.com</t>
        </is>
      </c>
      <c r="M27" s="10" t="inlineStr">
        <is>
          <t>ir@othaimmarkets.com</t>
        </is>
      </c>
      <c r="N27" s="10" t="inlineStr">
        <is>
          <t>+966 11 829 9905</t>
        </is>
      </c>
      <c r="O27" s="10" t="inlineStr"/>
      <c r="P27" s="11">
        <f>IF($O27="","", HYPERLINK("https://wa.me/"&amp;SUBSTITUTE(SUBSTITUTE(SUBSTITUTE($O27,"+",""),"-","")," ",""),"WhatsApp'ta Aç"))</f>
        <v/>
      </c>
      <c r="Q27" s="10" t="inlineStr">
        <is>
          <t>@othaimmarkets</t>
        </is>
      </c>
      <c r="R27" s="11">
        <f>HYPERLINK("https://othaim-markets.eurolandir.com/en/investors/contact-us/","İletişim/IR")</f>
        <v/>
      </c>
      <c r="S27" s="10" t="inlineStr">
        <is>
          <t>Halka açık: IR maili üzerinden kurumsal giriş + 'Office of the Chairman'/asistan (EA).</t>
        </is>
      </c>
      <c r="T27" s="15" t="inlineStr">
        <is>
          <t>Yüksek</t>
        </is>
      </c>
      <c r="U27" s="10" t="inlineStr">
        <is>
          <t>Yaşıyor, aktif başkan (2025). | Listeli (4001).</t>
        </is>
      </c>
      <c r="V27" s="11">
        <f>HYPERLINK("https://en.wikipedia.org/wiki/Abdullah_Al-Othaim_Markets","Kaynak")</f>
        <v/>
      </c>
    </row>
    <row r="28" ht="60" customHeight="1">
      <c r="A28" s="8" t="n">
        <v>27</v>
      </c>
      <c r="B28" s="10" t="inlineStr">
        <is>
          <t>Yatırım / dağıtım</t>
        </is>
      </c>
      <c r="C28" s="10" t="inlineStr">
        <is>
          <t>Lubna Al Olayan</t>
        </is>
      </c>
      <c r="D28" s="10" t="inlineStr">
        <is>
          <t>Kurumsal Yönetim Kurulu Başkanı</t>
        </is>
      </c>
      <c r="E28" s="10" t="inlineStr">
        <is>
          <t>The Olayan Group</t>
        </is>
      </c>
      <c r="F28" s="10" t="inlineStr">
        <is>
          <t>Suudi Arabistan (Riyad)</t>
        </is>
      </c>
      <c r="G28" s="10" t="inlineStr">
        <is>
          <t>Olayan aile serveti $10 milyar üzeri; 40+ şirkette pay, bölgenin en büyük yatırımcılarından</t>
        </is>
      </c>
      <c r="H28" s="10" t="inlineStr">
        <is>
          <t>Düşük (sahip/başkan — uzun vade)</t>
        </is>
      </c>
      <c r="I28" s="11">
        <f>HYPERLINK("https://www.olayan.com","olayan.com")</f>
        <v/>
      </c>
      <c r="J28" s="11">
        <f>HYPERLINK("https://www.linkedin.com/search/results/people/?keywords=Lubna%20Al%20Olayan","LinkedIn'de bul")</f>
        <v/>
      </c>
      <c r="K28" s="11">
        <f>HYPERLINK("https://www.linkedin.com/company/the-olayan-group","Şirket sayfası")</f>
        <v/>
      </c>
      <c r="L28" s="10" t="inlineStr"/>
      <c r="M28" s="10" t="inlineStr"/>
      <c r="N28" s="10" t="inlineStr">
        <is>
          <t>+966 11 839 2000</t>
        </is>
      </c>
      <c r="O28" s="10" t="inlineStr"/>
      <c r="P28" s="11">
        <f>IF($O28="","", HYPERLINK("https://wa.me/"&amp;SUBSTITUTE(SUBSTITUTE(SUBSTITUTE($O28,"+",""),"-","")," ",""),"WhatsApp'ta Aç"))</f>
        <v/>
      </c>
      <c r="Q28" s="10" t="inlineStr">
        <is>
          <t>@theolayangroup</t>
        </is>
      </c>
      <c r="R28" s="11">
        <f>HYPERLINK("https://olayan.com/directory/","İletişim/IR")</f>
        <v/>
      </c>
      <c r="S28" s="10" t="inlineStr">
        <is>
          <t>Özel şirket: santral + 'Office of the Chairman'/asistan (EA). Önce LinkedIn'de bağlan.</t>
        </is>
      </c>
      <c r="T28" s="15" t="inlineStr">
        <is>
          <t>Yüksek</t>
        </is>
      </c>
      <c r="U28" s="10" t="inlineStr">
        <is>
          <t>Yaşıyor, aktif; Olayan kurumsal kurul başkanı (2025). | Özel; genel mail yok. IG teyitsiz. Londra +44 207 245 4000.</t>
        </is>
      </c>
      <c r="V28" s="11">
        <f>HYPERLINK("https://en.wikipedia.org/wiki/Lubna_Olayan","Kaynak")</f>
        <v/>
      </c>
    </row>
    <row r="29" ht="60" customHeight="1">
      <c r="A29" s="8" t="n">
        <v>28</v>
      </c>
      <c r="B29" s="10" t="inlineStr">
        <is>
          <t>Gıda &amp; içecek</t>
        </is>
      </c>
      <c r="C29" s="10" t="inlineStr">
        <is>
          <t>Prince Naif bin Sultan</t>
        </is>
      </c>
      <c r="D29" s="10" t="inlineStr">
        <is>
          <t>Başkan</t>
        </is>
      </c>
      <c r="E29" s="10" t="inlineStr">
        <is>
          <t>Almarai / Sultan Holding</t>
        </is>
      </c>
      <c r="F29" s="10" t="inlineStr">
        <is>
          <t>Suudi Arabistan (Riyad)</t>
        </is>
      </c>
      <c r="G29" s="10" t="inlineStr">
        <is>
          <t>Almarai (dünyanın en büyük entegre süt şirketi, Tadawul) ve Sultan Holding başkanı</t>
        </is>
      </c>
      <c r="H29" s="10" t="inlineStr">
        <is>
          <t>Düşük (sahip/başkan — uzun vade)</t>
        </is>
      </c>
      <c r="I29" s="11">
        <f>HYPERLINK("https://www.almarai.com","almarai.com")</f>
        <v/>
      </c>
      <c r="J29" s="11">
        <f>HYPERLINK("https://www.linkedin.com/search/results/people/?keywords=Prince%20Naif%20bin%20Sultan","LinkedIn'de bul")</f>
        <v/>
      </c>
      <c r="K29" s="11">
        <f>HYPERLINK("https://www.linkedin.com/company/almarai","Şirket sayfası")</f>
        <v/>
      </c>
      <c r="L29" s="10" t="inlineStr">
        <is>
          <t>investor.relations@almarai.com</t>
        </is>
      </c>
      <c r="M29" s="10" t="inlineStr">
        <is>
          <t>investor.relations@almarai.com</t>
        </is>
      </c>
      <c r="N29" s="10" t="inlineStr">
        <is>
          <t>+966 11 470 0005</t>
        </is>
      </c>
      <c r="O29" s="10" t="inlineStr"/>
      <c r="P29" s="11">
        <f>IF($O29="","", HYPERLINK("https://wa.me/"&amp;SUBSTITUTE(SUBSTITUTE(SUBSTITUTE($O29,"+",""),"-","")," ",""),"WhatsApp'ta Aç"))</f>
        <v/>
      </c>
      <c r="Q29" s="10" t="inlineStr"/>
      <c r="R29" s="11">
        <f>HYPERLINK("https://www.almarai.com/en/corporate/investor-relations/contact-investor-relations","İletişim/IR")</f>
        <v/>
      </c>
      <c r="S29" s="10" t="inlineStr">
        <is>
          <t>Halka açık: IR maili üzerinden kurumsal giriş + 'Office of the Chairman'/asistan (EA).</t>
        </is>
      </c>
      <c r="T29" s="8" t="inlineStr">
        <is>
          <t>Orta</t>
        </is>
      </c>
      <c r="U29" s="10" t="inlineStr">
        <is>
          <t>Yaşıyor; 2025'te yeniden başkan seçildi (OĞUL; kurucu baba 2024'te vefat etti). | Listeli (2280). IR WhatsApp: +966 55 470 0101.</t>
        </is>
      </c>
      <c r="V29" s="11">
        <f>HYPERLINK("https://dairybusinessmea.com/2025/08/12/almarai-re-elects-prince-naif-bin-sultan-as-chairman/","Kaynak")</f>
        <v/>
      </c>
    </row>
    <row r="30" ht="60" customHeight="1">
      <c r="A30" s="8" t="n">
        <v>29</v>
      </c>
      <c r="B30" s="10" t="inlineStr">
        <is>
          <t>Bankacılık</t>
        </is>
      </c>
      <c r="C30" s="10" t="inlineStr">
        <is>
          <t>Abdullah bin Sulaiman Al Rajhi</t>
        </is>
      </c>
      <c r="D30" s="10" t="inlineStr">
        <is>
          <t>Başkan</t>
        </is>
      </c>
      <c r="E30" s="10" t="inlineStr">
        <is>
          <t>Al Rajhi Bank</t>
        </is>
      </c>
      <c r="F30" s="10" t="inlineStr">
        <is>
          <t>Suudi Arabistan (Riyad)</t>
        </is>
      </c>
      <c r="G30" s="10" t="inlineStr">
        <is>
          <t>Dünyanın en büyük İslami bankası başkanı; kurucu Al Rajhi ailesinden</t>
        </is>
      </c>
      <c r="H30" s="10" t="inlineStr">
        <is>
          <t>Düşük (sahip/başkan — uzun vade)</t>
        </is>
      </c>
      <c r="I30" s="11">
        <f>HYPERLINK("https://www.alrajhibank.com.sa","alrajhibank.com.sa")</f>
        <v/>
      </c>
      <c r="J30" s="11">
        <f>HYPERLINK("https://www.linkedin.com/search/results/people/?keywords=Abdullah%20bin%20Sulaiman%20Al%20Rajhi","LinkedIn'de bul")</f>
        <v/>
      </c>
      <c r="K30" s="11">
        <f>HYPERLINK("https://www.linkedin.com/company/alrajhibank","Şirket sayfası")</f>
        <v/>
      </c>
      <c r="L30" s="10" t="inlineStr">
        <is>
          <t>care@alrajhibank.com.sa</t>
        </is>
      </c>
      <c r="M30" s="10" t="inlineStr"/>
      <c r="N30" s="10" t="inlineStr">
        <is>
          <t>+966 11 2116000</t>
        </is>
      </c>
      <c r="O30" s="10" t="inlineStr"/>
      <c r="P30" s="11">
        <f>IF($O30="","", HYPERLINK("https://wa.me/"&amp;SUBSTITUTE(SUBSTITUTE(SUBSTITUTE($O30,"+",""),"-","")," ",""),"WhatsApp'ta Aç"))</f>
        <v/>
      </c>
      <c r="Q30" s="10" t="inlineStr"/>
      <c r="R30" s="11">
        <f>HYPERLINK("https://www.alrajhibank.com.sa/en/About-alrajhi-bank/Investor-Relations","İletişim/IR")</f>
        <v/>
      </c>
      <c r="S30" s="10" t="inlineStr">
        <is>
          <t>Özel şirket: santral + 'Office of the Chairman'/asistan (EA). Önce LinkedIn'de bağlan.</t>
        </is>
      </c>
      <c r="T30" s="8" t="inlineStr">
        <is>
          <t>Orta</t>
        </is>
      </c>
      <c r="U30" s="10" t="inlineStr">
        <is>
          <t>Yaşıyor, aktif başkan (2025). | Listeli (1120). IR ayrı mail yayınlamıyor; uygulama üzerinden.</t>
        </is>
      </c>
      <c r="V30" s="11">
        <f>HYPERLINK("https://www.alrajhibank.com.sa/en/About-alrajhi-bank/Board-Members","Kaynak")</f>
        <v/>
      </c>
    </row>
    <row r="31" ht="60" customHeight="1">
      <c r="A31" s="8" t="n">
        <v>30</v>
      </c>
      <c r="B31" s="10" t="inlineStr">
        <is>
          <t>Enerji / sanayi</t>
        </is>
      </c>
      <c r="C31" s="10" t="inlineStr">
        <is>
          <t>Mohammed Al Amoudi</t>
        </is>
      </c>
      <c r="D31" s="10" t="inlineStr">
        <is>
          <t>Kurucu &amp; Sahip</t>
        </is>
      </c>
      <c r="E31" s="10" t="inlineStr">
        <is>
          <t>MIDROC / Corral (Preem)</t>
        </is>
      </c>
      <c r="F31" s="10" t="inlineStr">
        <is>
          <t>Suudi Arabistan / uluslararası</t>
        </is>
      </c>
      <c r="G31" s="10" t="inlineStr">
        <is>
          <t>Milyarder (Bloomberg ~$8-10 milyar); İsveç'in en büyük rafinerisi Preem'i kontrol eder</t>
        </is>
      </c>
      <c r="H31" s="10" t="inlineStr">
        <is>
          <t>Düşük (sahip/başkan — uzun vade)</t>
        </is>
      </c>
      <c r="I31" s="11">
        <f>HYPERLINK("https://www.corral.se","corral.se")</f>
        <v/>
      </c>
      <c r="J31" s="11">
        <f>HYPERLINK("https://www.linkedin.com/search/results/people/?keywords=Mohammed%20Al%20Amoudi","LinkedIn'de bul")</f>
        <v/>
      </c>
      <c r="K31" s="11">
        <f>HYPERLINK("https://www.linkedin.com/company/preem","Şirket sayfası")</f>
        <v/>
      </c>
      <c r="L31" s="10" t="inlineStr"/>
      <c r="M31" s="10" t="inlineStr"/>
      <c r="N31" s="10" t="inlineStr"/>
      <c r="O31" s="10" t="inlineStr"/>
      <c r="P31" s="11">
        <f>IF($O31="","", HYPERLINK("https://wa.me/"&amp;SUBSTITUTE(SUBSTITUTE(SUBSTITUTE($O31,"+",""),"-","")," ",""),"WhatsApp'ta Aç"))</f>
        <v/>
      </c>
      <c r="Q31" s="10" t="inlineStr"/>
      <c r="R31" s="11">
        <f>HYPERLINK("https://www.preem.com/en/investor-relations/","İletişim/IR")</f>
        <v/>
      </c>
      <c r="S31" s="10" t="inlineStr">
        <is>
          <t>Özel şirket: santral + 'Office of the Chairman'/asistan (EA). Önce LinkedIn'de bağlan.</t>
        </is>
      </c>
      <c r="T31" s="15" t="inlineStr">
        <is>
          <t>Yüksek</t>
        </is>
      </c>
      <c r="U31" s="10" t="inlineStr">
        <is>
          <t>Yaşıyor, aktif (2025). | corral.se → preem.com (MIDROC/Al Amoudi). Genel mail/telefon yok; bono iletişimi adlı kişi üzerinden.</t>
        </is>
      </c>
      <c r="V31" s="11">
        <f>HYPERLINK("https://www.bloomberg.com/billionaires/profiles/mohammed-al-amoudi/","Kaynak")</f>
        <v/>
      </c>
    </row>
    <row r="32" ht="60" customHeight="1">
      <c r="A32" s="8" t="n">
        <v>31</v>
      </c>
      <c r="B32" s="10" t="inlineStr">
        <is>
          <t>Holding / otomotiv</t>
        </is>
      </c>
      <c r="C32" s="10" t="inlineStr">
        <is>
          <t>Kutayba Alghanim</t>
        </is>
      </c>
      <c r="D32" s="10" t="inlineStr">
        <is>
          <t>İcra Başkanı</t>
        </is>
      </c>
      <c r="E32" s="10" t="inlineStr">
        <is>
          <t>Alghanim Industries</t>
        </is>
      </c>
      <c r="F32" s="10" t="inlineStr">
        <is>
          <t>Kuveyt (Kuveyt City)</t>
        </is>
      </c>
      <c r="G32" s="10" t="inlineStr">
        <is>
          <t>Kuveytli milyarder (~$1.3 milyar); Körfez'in en büyük özel konglomeralarından (GM bayisi, perakende)</t>
        </is>
      </c>
      <c r="H32" s="10" t="inlineStr">
        <is>
          <t>Düşük (sahip/başkan — uzun vade)</t>
        </is>
      </c>
      <c r="I32" s="11">
        <f>HYPERLINK("https://www.alghanim.com","alghanim.com")</f>
        <v/>
      </c>
      <c r="J32" s="11">
        <f>HYPERLINK("https://www.linkedin.com/search/results/people/?keywords=Kutayba%20Alghanim","LinkedIn'de bul")</f>
        <v/>
      </c>
      <c r="K32" s="11">
        <f>HYPERLINK("https://www.linkedin.com/company/alghanim-industries","Şirket sayfası")</f>
        <v/>
      </c>
      <c r="L32" s="10" t="inlineStr">
        <is>
          <t>compliance@alghanim.com</t>
        </is>
      </c>
      <c r="M32" s="10" t="inlineStr"/>
      <c r="N32" s="10" t="inlineStr">
        <is>
          <t>+965 2496 2000</t>
        </is>
      </c>
      <c r="O32" s="10" t="inlineStr"/>
      <c r="P32" s="11">
        <f>IF($O32="","", HYPERLINK("https://wa.me/"&amp;SUBSTITUTE(SUBSTITUTE(SUBSTITUTE($O32,"+",""),"-","")," ",""),"WhatsApp'ta Aç"))</f>
        <v/>
      </c>
      <c r="Q32" s="10" t="inlineStr"/>
      <c r="R32" s="11">
        <f>HYPERLINK("https://www.alghanim.com/contact-us","İletişim/IR")</f>
        <v/>
      </c>
      <c r="S32" s="10" t="inlineStr">
        <is>
          <t>Özel şirket: santral + 'Office of the Chairman'/asistan (EA). Önce LinkedIn'de bağlan.</t>
        </is>
      </c>
      <c r="T32" s="15" t="inlineStr">
        <is>
          <t>Yüksek</t>
        </is>
      </c>
      <c r="U32" s="10" t="inlineStr">
        <is>
          <t>Yaşıyor, aktif icra başkanı (2025). | Özel. Genel info@ yok; form üzerinden. compliance@ uyum içindir.</t>
        </is>
      </c>
      <c r="V32" s="11">
        <f>HYPERLINK("https://www.alghanim.com/about-us/executive-team/kutayba-y-alghanim","Kaynak")</f>
        <v/>
      </c>
    </row>
    <row r="33" ht="60" customHeight="1">
      <c r="A33" s="8" t="n">
        <v>32</v>
      </c>
      <c r="B33" s="10" t="inlineStr">
        <is>
          <t>Holding / bankacılık</t>
        </is>
      </c>
      <c r="C33" s="10" t="inlineStr">
        <is>
          <t>Bassam Alghanim</t>
        </is>
      </c>
      <c r="D33" s="10" t="inlineStr">
        <is>
          <t>Ana Ortak / Sahip</t>
        </is>
      </c>
      <c r="E33" s="10" t="inlineStr">
        <is>
          <t>Alghanim / Gulf Bank payı</t>
        </is>
      </c>
      <c r="F33" s="10" t="inlineStr">
        <is>
          <t>Kuveyt (Kuveyt City)</t>
        </is>
      </c>
      <c r="G33" s="10" t="inlineStr">
        <is>
          <t>Kuveyt'in en zengini olarak bildirildi (~$1.6 milyar); Alghanim &amp; Gulf Bank payı</t>
        </is>
      </c>
      <c r="H33" s="10" t="inlineStr">
        <is>
          <t>Düşük (sahip/başkan — uzun vade)</t>
        </is>
      </c>
      <c r="I33" s="11">
        <f>HYPERLINK("https://www.alghanim.com","alghanim.com")</f>
        <v/>
      </c>
      <c r="J33" s="11">
        <f>HYPERLINK("https://www.linkedin.com/search/results/people/?keywords=Bassam%20Alghanim","LinkedIn'de bul")</f>
        <v/>
      </c>
      <c r="K33" s="11">
        <f>HYPERLINK("https://www.linkedin.com/company/alghanim-industries","Şirket sayfası")</f>
        <v/>
      </c>
      <c r="L33" s="10" t="inlineStr">
        <is>
          <t>compliance@alghanim.com</t>
        </is>
      </c>
      <c r="M33" s="10" t="inlineStr"/>
      <c r="N33" s="10" t="inlineStr">
        <is>
          <t>+965 2496 2000</t>
        </is>
      </c>
      <c r="O33" s="10" t="inlineStr"/>
      <c r="P33" s="11">
        <f>IF($O33="","", HYPERLINK("https://wa.me/"&amp;SUBSTITUTE(SUBSTITUTE(SUBSTITUTE($O33,"+",""),"-","")," ",""),"WhatsApp'ta Aç"))</f>
        <v/>
      </c>
      <c r="Q33" s="10" t="inlineStr"/>
      <c r="R33" s="11">
        <f>HYPERLINK("https://www.alghanim.com/contact-us","İletişim/IR")</f>
        <v/>
      </c>
      <c r="S33" s="10" t="inlineStr">
        <is>
          <t>Özel şirket: santral + 'Office of the Chairman'/asistan (EA). Önce LinkedIn'de bağlan.</t>
        </is>
      </c>
      <c r="T33" s="15" t="inlineStr">
        <is>
          <t>Yüksek</t>
        </is>
      </c>
      <c r="U33" s="10" t="inlineStr">
        <is>
          <t>Yaşıyor (2025); ana ortak (operasyonel başkan değil). | Özel. Genel info@ yok; form üzerinden. compliance@ uyum içindir.</t>
        </is>
      </c>
      <c r="V33" s="11">
        <f>HYPERLINK("https://www.celebritynetworth.com/richest-businessmen/ceos/bassam-alghanim-net-worth/","Kaynak")</f>
        <v/>
      </c>
    </row>
    <row r="34" ht="60" customHeight="1">
      <c r="A34" s="8" t="n">
        <v>33</v>
      </c>
      <c r="B34" s="10" t="inlineStr">
        <is>
          <t>Perakende / gayrimenkul</t>
        </is>
      </c>
      <c r="C34" s="10" t="inlineStr">
        <is>
          <t>Mohammed Alshaya</t>
        </is>
      </c>
      <c r="D34" s="10" t="inlineStr">
        <is>
          <t>İcra Başkanı</t>
        </is>
      </c>
      <c r="E34" s="10" t="inlineStr">
        <is>
          <t>Alshaya Group / Mabanee</t>
        </is>
      </c>
      <c r="F34" s="10" t="inlineStr">
        <is>
          <t>Kuveyt (Kuveyt City)</t>
        </is>
      </c>
      <c r="G34" s="10" t="inlineStr">
        <is>
          <t>Alshaya (90+ global marka, 4.100+ mağaza); Mabanee başkanı (Kuveyt'in en büyük gayrimenkulü)</t>
        </is>
      </c>
      <c r="H34" s="10" t="inlineStr">
        <is>
          <t>Düşük (sahip/başkan — uzun vade)</t>
        </is>
      </c>
      <c r="I34" s="11">
        <f>HYPERLINK("https://www.alshaya.com","alshaya.com")</f>
        <v/>
      </c>
      <c r="J34" s="11">
        <f>HYPERLINK("https://www.linkedin.com/search/results/people/?keywords=Mohammed%20Alshaya","LinkedIn'de bul")</f>
        <v/>
      </c>
      <c r="K34" s="11">
        <f>HYPERLINK("https://www.linkedin.com/company/alshayagroup","Şirket sayfası")</f>
        <v/>
      </c>
      <c r="L34" s="10" t="inlineStr">
        <is>
          <t>alshaya.group@alshaya.com</t>
        </is>
      </c>
      <c r="M34" s="10" t="inlineStr"/>
      <c r="N34" s="10" t="inlineStr">
        <is>
          <t>+965 2225 5555</t>
        </is>
      </c>
      <c r="O34" s="10" t="inlineStr"/>
      <c r="P34" s="11">
        <f>IF($O34="","", HYPERLINK("https://wa.me/"&amp;SUBSTITUTE(SUBSTITUTE(SUBSTITUTE($O34,"+",""),"-","")," ",""),"WhatsApp'ta Aç"))</f>
        <v/>
      </c>
      <c r="Q34" s="10" t="inlineStr"/>
      <c r="R34" s="11">
        <f>HYPERLINK("https://www.alshaya.com/en/contact-us/","İletişim/IR")</f>
        <v/>
      </c>
      <c r="S34" s="10" t="inlineStr">
        <is>
          <t>Özel şirket: santral + 'Office of the Chairman'/asistan (EA). Önce LinkedIn'de bağlan.</t>
        </is>
      </c>
      <c r="T34" s="8" t="inlineStr">
        <is>
          <t>Orta</t>
        </is>
      </c>
      <c r="U34" s="10" t="inlineStr">
        <is>
          <t>Yaşıyor, aktif icra başkanı (2007'den beri). | Özel. Tedarik: central.procurement@alshaya.com.</t>
        </is>
      </c>
      <c r="V34" s="11">
        <f>HYPERLINK("https://www.alshaya.com/en/media-centre/alshaya-news/mohammed-alshaya-named-kuwaits-businessman-of-the-year-for-the-second-successive-year/","Kaynak")</f>
        <v/>
      </c>
    </row>
    <row r="35" ht="60" customHeight="1">
      <c r="A35" s="8" t="n">
        <v>34</v>
      </c>
      <c r="B35" s="10" t="inlineStr">
        <is>
          <t>Telekom / bankacılık</t>
        </is>
      </c>
      <c r="C35" s="10" t="inlineStr">
        <is>
          <t>Bader Al Kharafi</t>
        </is>
      </c>
      <c r="D35" s="10" t="inlineStr">
        <is>
          <t>Başkan Yrd. &amp; Grup CEO</t>
        </is>
      </c>
      <c r="E35" s="10" t="inlineStr">
        <is>
          <t>Zain Group / Gulf Bank</t>
        </is>
      </c>
      <c r="F35" s="10" t="inlineStr">
        <is>
          <t>Kuveyt (Kuveyt City)</t>
        </is>
      </c>
      <c r="G35" s="10" t="inlineStr">
        <is>
          <t>Kharafi aile serveti; Zain (51M+ abone) Grup CEO'su; Gulf Bank başkanı</t>
        </is>
      </c>
      <c r="H35" s="10" t="inlineStr">
        <is>
          <t>Düşük (sahip/başkan — uzun vade)</t>
        </is>
      </c>
      <c r="I35" s="11">
        <f>HYPERLINK("https://www.zain.com","zain.com")</f>
        <v/>
      </c>
      <c r="J35" s="11">
        <f>HYPERLINK("https://www.linkedin.com/search/results/people/?keywords=Bader%20Al%20Kharafi","LinkedIn'de bul")</f>
        <v/>
      </c>
      <c r="K35" s="11">
        <f>HYPERLINK("https://www.linkedin.com/company/zain","Şirket sayfası")</f>
        <v/>
      </c>
      <c r="L35" s="10" t="inlineStr">
        <is>
          <t>info@zain.com</t>
        </is>
      </c>
      <c r="M35" s="10" t="inlineStr"/>
      <c r="N35" s="10" t="inlineStr">
        <is>
          <t>+965 2464 4444</t>
        </is>
      </c>
      <c r="O35" s="10" t="inlineStr"/>
      <c r="P35" s="11">
        <f>IF($O35="","", HYPERLINK("https://wa.me/"&amp;SUBSTITUTE(SUBSTITUTE(SUBSTITUTE($O35,"+",""),"-","")," ",""),"WhatsApp'ta Aç"))</f>
        <v/>
      </c>
      <c r="Q35" s="10" t="inlineStr">
        <is>
          <t>@zaingroup</t>
        </is>
      </c>
      <c r="R35" s="11">
        <f>HYPERLINK("https://zain.com/en/contact-us","İletişim/IR")</f>
        <v/>
      </c>
      <c r="S35" s="10" t="inlineStr">
        <is>
          <t>Özel şirket: santral + 'Office of the Chairman'/asistan (EA). Önce LinkedIn'de bağlan.</t>
        </is>
      </c>
      <c r="T35" s="8" t="inlineStr">
        <is>
          <t>Orta</t>
        </is>
      </c>
      <c r="U35" s="10" t="inlineStr">
        <is>
          <t>Yaşıyor, aktif (2025). | Listeli (Boursa Kuwait: ZAIN).</t>
        </is>
      </c>
      <c r="V35" s="11">
        <f>HYPERLINK("https://gulfbusiness.com/lists/100-most-powerful-arabs-2025/","Kaynak")</f>
        <v/>
      </c>
    </row>
    <row r="36" ht="60" customHeight="1">
      <c r="A36" s="8" t="n">
        <v>35</v>
      </c>
      <c r="B36" s="10" t="inlineStr">
        <is>
          <t>Havacılık / holding</t>
        </is>
      </c>
      <c r="C36" s="10" t="inlineStr">
        <is>
          <t>Marwan Boodai</t>
        </is>
      </c>
      <c r="D36" s="10" t="inlineStr">
        <is>
          <t>Kurucu Ortak, Başkan &amp; CEO</t>
        </is>
      </c>
      <c r="E36" s="10" t="inlineStr">
        <is>
          <t>Jazeera Airways / BoodaiCorp</t>
        </is>
      </c>
      <c r="F36" s="10" t="inlineStr">
        <is>
          <t>Kuveyt (Kuveyt City)</t>
        </is>
      </c>
      <c r="G36" s="10" t="inlineStr">
        <is>
          <t>Jazeera Airways (Kuveyt'in ilk özel havayolu, borsada) kurucu ortağı; BoodaiCorp başkan yrd.</t>
        </is>
      </c>
      <c r="H36" s="10" t="inlineStr">
        <is>
          <t>Düşük (sahip/başkan — uzun vade)</t>
        </is>
      </c>
      <c r="I36" s="11">
        <f>HYPERLINK("https://www.jazeeraairways.com","jazeeraairways.com")</f>
        <v/>
      </c>
      <c r="J36" s="11">
        <f>HYPERLINK("https://www.linkedin.com/search/results/people/?keywords=Marwan%20Boodai","LinkedIn'de bul")</f>
        <v/>
      </c>
      <c r="K36" s="11">
        <f>HYPERLINK("https://www.linkedin.com/company/jazeeraairways","Şirket sayfası")</f>
        <v/>
      </c>
      <c r="L36" s="10" t="inlineStr">
        <is>
          <t>investorrelations@jazeeraairways.com</t>
        </is>
      </c>
      <c r="M36" s="10" t="inlineStr">
        <is>
          <t>investorrelations@jazeeraairways.com</t>
        </is>
      </c>
      <c r="N36" s="10" t="inlineStr">
        <is>
          <t>+965 2224 8670</t>
        </is>
      </c>
      <c r="O36" s="10" t="inlineStr"/>
      <c r="P36" s="11">
        <f>IF($O36="","", HYPERLINK("https://wa.me/"&amp;SUBSTITUTE(SUBSTITUTE(SUBSTITUTE($O36,"+",""),"-","")," ",""),"WhatsApp'ta Aç"))</f>
        <v/>
      </c>
      <c r="Q36" s="10" t="inlineStr">
        <is>
          <t>@jazeera__airways</t>
        </is>
      </c>
      <c r="R36" s="11">
        <f>HYPERLINK("https://investorrelations.jazeeraairways.com/en/about-jazeera/investor-relations/contact-us/","İletişim/IR")</f>
        <v/>
      </c>
      <c r="S36" s="10" t="inlineStr">
        <is>
          <t>Halka açık: IR maili üzerinden kurumsal giriş + 'Office of the Chairman'/asistan (EA).</t>
        </is>
      </c>
      <c r="T36" s="8" t="inlineStr">
        <is>
          <t>Orta</t>
        </is>
      </c>
      <c r="U36" s="10" t="inlineStr">
        <is>
          <t>Yaşıyor, aktif başkan &amp; CEO (2025). | Listeli (Boursa Kuwait: JAZEERA).</t>
        </is>
      </c>
      <c r="V36" s="11">
        <f>HYPERLINK("https://en.wikipedia.org/wiki/Marwan_Boodai","Kaynak")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7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5" customWidth="1" min="2" max="2"/>
    <col width="20" customWidth="1" min="3" max="3"/>
    <col width="17" customWidth="1" min="4" max="4"/>
    <col width="20" customWidth="1" min="5" max="5"/>
    <col width="16" customWidth="1" min="6" max="6"/>
    <col width="28" customWidth="1" min="7" max="7"/>
    <col width="30" customWidth="1" min="8" max="8"/>
    <col width="15" customWidth="1" min="9" max="9"/>
    <col width="15" customWidth="1" min="10" max="10"/>
    <col width="18" customWidth="1" min="11" max="11"/>
    <col width="15" customWidth="1" min="12" max="12"/>
    <col width="14" customWidth="1" min="13" max="13"/>
    <col width="28" customWidth="1" min="14" max="14"/>
    <col width="30" customWidth="1" min="15" max="15"/>
    <col width="8" customWidth="1" min="16" max="16"/>
  </cols>
  <sheetData>
    <row r="1" ht="30" customHeight="1">
      <c r="A1" s="16" t="inlineStr">
        <is>
          <t>İLK TEMAS ÖNCELİĞİ: Bu kişiler profesyonel, yüksek maaşlı ve LinkedIn'de aktif — patronlardan ÇOK daha hızlı cevap verirler. Önce buradan başla. (Sahip değiller; gayrimenkul şirketleri çıkarıldı.)</t>
        </is>
      </c>
    </row>
    <row r="2" ht="42" customHeight="1">
      <c r="A2" s="17" t="inlineStr">
        <is>
          <t>No</t>
        </is>
      </c>
      <c r="B2" s="17" t="inlineStr">
        <is>
          <t>Sektör</t>
        </is>
      </c>
      <c r="C2" s="17" t="inlineStr">
        <is>
          <t>İsim</t>
        </is>
      </c>
      <c r="D2" s="17" t="inlineStr">
        <is>
          <t>Unvan</t>
        </is>
      </c>
      <c r="E2" s="17" t="inlineStr">
        <is>
          <t>Şirket</t>
        </is>
      </c>
      <c r="F2" s="17" t="inlineStr">
        <is>
          <t>Ülke / Şehir</t>
        </is>
      </c>
      <c r="G2" s="17" t="inlineStr">
        <is>
          <t>Neden Ulaşılabilir</t>
        </is>
      </c>
      <c r="H2" s="17" t="inlineStr">
        <is>
          <t>Gelir / Zenginlik Sinyali</t>
        </is>
      </c>
      <c r="I2" s="17" t="inlineStr">
        <is>
          <t>LinkedIn (profil)</t>
        </is>
      </c>
      <c r="J2" s="17" t="inlineStr">
        <is>
          <t>Şirket Web</t>
        </is>
      </c>
      <c r="K2" s="17" t="inlineStr">
        <is>
          <t>İş E-postası (scrape)</t>
        </is>
      </c>
      <c r="L2" s="17" t="inlineStr">
        <is>
          <t>WhatsApp (ham)</t>
        </is>
      </c>
      <c r="M2" s="17" t="inlineStr">
        <is>
          <t>WhatsApp Linki</t>
        </is>
      </c>
      <c r="N2" s="17" t="inlineStr">
        <is>
          <t>Erişim Stratejisi</t>
        </is>
      </c>
      <c r="O2" s="17" t="inlineStr">
        <is>
          <t>Durum / Not</t>
        </is>
      </c>
      <c r="P2" s="17" t="inlineStr">
        <is>
          <t>Kaynak</t>
        </is>
      </c>
    </row>
    <row r="3" ht="52" customHeight="1">
      <c r="A3" s="8" t="n">
        <v>1</v>
      </c>
      <c r="B3" s="10" t="inlineStr">
        <is>
          <t>Bankacılık</t>
        </is>
      </c>
      <c r="C3" s="10" t="inlineStr">
        <is>
          <t>Shayne Nelson</t>
        </is>
      </c>
      <c r="D3" s="10" t="inlineStr">
        <is>
          <t>Grup CEO</t>
        </is>
      </c>
      <c r="E3" s="10" t="inlineStr">
        <is>
          <t>Emirates NBD</t>
        </is>
      </c>
      <c r="F3" s="10" t="inlineStr">
        <is>
          <t>BAE (Dubai)</t>
        </is>
      </c>
      <c r="G3" s="10" t="inlineStr">
        <is>
          <t>Profesyonel (Emirati değil) bankacı, sık konferans/röportaj</t>
        </is>
      </c>
      <c r="H3" s="10" t="inlineStr">
        <is>
          <t>Körfez'in en büyük listeli bankalarından birinin Grup CEO'su</t>
        </is>
      </c>
      <c r="I3" s="11">
        <f>HYPERLINK("https://www.linkedin.com/search/results/people/?keywords=Shayne%20Nelson%20Emirates%20NBD","LinkedIn'de bul")</f>
        <v/>
      </c>
      <c r="J3" s="11">
        <f>HYPERLINK("https://www.emiratesnbd.com","emiratesnbd.com")</f>
        <v/>
      </c>
      <c r="K3" s="10" t="inlineStr"/>
      <c r="L3" s="10" t="inlineStr"/>
      <c r="M3" s="11">
        <f>IF($L3="","", HYPERLINK("https://wa.me/"&amp;SUBSTITUTE(SUBSTITUTE(SUBSTITUTE($L3,"+",""),"-","")," ",""),"WhatsApp'ta Aç"))</f>
        <v/>
      </c>
      <c r="N3" s="10" t="inlineStr">
        <is>
          <t>LinkedIn'de bağlan + kısa not; iş maili için şirket deseni/scrape. Profesyonel, randevuya açık.</t>
        </is>
      </c>
      <c r="O3" s="10" t="inlineStr">
        <is>
          <t>2025 itibarıyla Grup CEO.</t>
        </is>
      </c>
      <c r="P3" s="11">
        <f>HYPERLINK("https://www.emiratesnbd.com/en/about-emirates-nbd/corporate-governance/management-team/shaynenelson","Kaynak")</f>
        <v/>
      </c>
    </row>
    <row r="4" ht="52" customHeight="1">
      <c r="A4" s="8" t="n">
        <v>2</v>
      </c>
      <c r="B4" s="10" t="inlineStr">
        <is>
          <t>Telekom</t>
        </is>
      </c>
      <c r="C4" s="10" t="inlineStr">
        <is>
          <t>Karim Bennis</t>
        </is>
      </c>
      <c r="D4" s="10" t="inlineStr">
        <is>
          <t>Grup CFO</t>
        </is>
      </c>
      <c r="E4" s="10" t="inlineStr">
        <is>
          <t>e&amp; (Etisalat Group)</t>
        </is>
      </c>
      <c r="F4" s="10" t="inlineStr">
        <is>
          <t>BAE (Abu Dabi)</t>
        </is>
      </c>
      <c r="G4" s="10" t="inlineStr">
        <is>
          <t>İçeriden yükselen profesyonel, kazanç çağrılarında public</t>
        </is>
      </c>
      <c r="H4" s="10" t="inlineStr">
        <is>
          <t>~38 ülkede faaliyet gösteren listeli telekom/tek devinin Grup CFO'su</t>
        </is>
      </c>
      <c r="I4" s="11">
        <f>HYPERLINK("https://www.linkedin.com/search/results/people/?keywords=Karim%20Bennis%20e%26%20CFO","LinkedIn'de bul")</f>
        <v/>
      </c>
      <c r="J4" s="11">
        <f>HYPERLINK("https://www.eand.com","eand.com")</f>
        <v/>
      </c>
      <c r="K4" s="10" t="inlineStr"/>
      <c r="L4" s="10" t="inlineStr"/>
      <c r="M4" s="11">
        <f>IF($L4="","", HYPERLINK("https://wa.me/"&amp;SUBSTITUTE(SUBSTITUTE(SUBSTITUTE($L4,"+",""),"-","")," ",""),"WhatsApp'ta Aç"))</f>
        <v/>
      </c>
      <c r="N4" s="10" t="inlineStr">
        <is>
          <t>LinkedIn'de bağlan + kısa not; iş maili için şirket deseni/scrape. Profesyonel, randevuya açık.</t>
        </is>
      </c>
      <c r="O4" s="10" t="inlineStr">
        <is>
          <t>Nisan 2025 itibarıyla Grup CFO.</t>
        </is>
      </c>
      <c r="P4" s="11">
        <f>HYPERLINK("https://www.eand.com/en/whoweare/senior-management.html","Kaynak")</f>
        <v/>
      </c>
    </row>
    <row r="5" ht="52" customHeight="1">
      <c r="A5" s="8" t="n">
        <v>3</v>
      </c>
      <c r="B5" s="10" t="inlineStr">
        <is>
          <t>Perakende / holding</t>
        </is>
      </c>
      <c r="C5" s="10" t="inlineStr">
        <is>
          <t>Ahmed Galal Ismail</t>
        </is>
      </c>
      <c r="D5" s="10" t="inlineStr">
        <is>
          <t>CEO (Holding)</t>
        </is>
      </c>
      <c r="E5" s="10" t="inlineStr">
        <is>
          <t>Majid Al Futtaim</t>
        </is>
      </c>
      <c r="F5" s="10" t="inlineStr">
        <is>
          <t>BAE (Dubai)</t>
        </is>
      </c>
      <c r="G5" s="10" t="inlineStr">
        <is>
          <t>Profesyonel (ex-P&amp;G, ex-Booz), sık konuşmacı; sahip değil</t>
        </is>
      </c>
      <c r="H5" s="10" t="inlineStr">
        <is>
          <t>Carrefour/Mall of Emirates işletmecisi çok milyarlık grubun Grup CEO'su</t>
        </is>
      </c>
      <c r="I5" s="11">
        <f>HYPERLINK("https://www.linkedin.com/search/results/people/?keywords=Ahmed%20Galal%20Ismail%20Majid%20Al%20Futtaim","LinkedIn'de bul")</f>
        <v/>
      </c>
      <c r="J5" s="11">
        <f>HYPERLINK("https://www.majidalfuttaim.com","majidalfuttaim.com")</f>
        <v/>
      </c>
      <c r="K5" s="10" t="inlineStr"/>
      <c r="L5" s="10" t="inlineStr"/>
      <c r="M5" s="11">
        <f>IF($L5="","", HYPERLINK("https://wa.me/"&amp;SUBSTITUTE(SUBSTITUTE(SUBSTITUTE($L5,"+",""),"-","")," ",""),"WhatsApp'ta Aç"))</f>
        <v/>
      </c>
      <c r="N5" s="10" t="inlineStr">
        <is>
          <t>LinkedIn'de bağlan + kısa not; iş maili için şirket deseni/scrape. Profesyonel, randevuya açık.</t>
        </is>
      </c>
      <c r="O5" s="10" t="inlineStr">
        <is>
          <t>2025 itibarıyla Holding CEO.</t>
        </is>
      </c>
      <c r="P5" s="11">
        <f>HYPERLINK("https://www.majidalfuttaim.com/en/who-we-are/management","Kaynak")</f>
        <v/>
      </c>
    </row>
    <row r="6" ht="52" customHeight="1">
      <c r="A6" s="8" t="n">
        <v>4</v>
      </c>
      <c r="B6" s="10" t="inlineStr">
        <is>
          <t>Bankacılık</t>
        </is>
      </c>
      <c r="C6" s="10" t="inlineStr">
        <is>
          <t>Hana Al Rostamani</t>
        </is>
      </c>
      <c r="D6" s="10" t="inlineStr">
        <is>
          <t>Grup CEO</t>
        </is>
      </c>
      <c r="E6" s="10" t="inlineStr">
        <is>
          <t>First Abu Dhabi Bank (FAB)</t>
        </is>
      </c>
      <c r="F6" s="10" t="inlineStr">
        <is>
          <t>BAE (Abu Dabi)</t>
        </is>
      </c>
      <c r="G6" s="10" t="inlineStr">
        <is>
          <t>Kariyer bankacısı, yüksek public profil, ödül/konferans</t>
        </is>
      </c>
      <c r="H6" s="10" t="inlineStr">
        <is>
          <t>BAE'nin en büyük bankasının (&gt;$300mlr varlık) Grup CEO'su</t>
        </is>
      </c>
      <c r="I6" s="11">
        <f>HYPERLINK("https://www.linkedin.com/search/results/people/?keywords=Hana%20Al%20Rostamani%20FAB","LinkedIn'de bul")</f>
        <v/>
      </c>
      <c r="J6" s="11">
        <f>HYPERLINK("https://www.bankfab.com","bankfab.com")</f>
        <v/>
      </c>
      <c r="K6" s="10" t="inlineStr"/>
      <c r="L6" s="10" t="inlineStr"/>
      <c r="M6" s="11">
        <f>IF($L6="","", HYPERLINK("https://wa.me/"&amp;SUBSTITUTE(SUBSTITUTE(SUBSTITUTE($L6,"+",""),"-","")," ",""),"WhatsApp'ta Aç"))</f>
        <v/>
      </c>
      <c r="N6" s="10" t="inlineStr">
        <is>
          <t>LinkedIn'de bağlan + kısa not; iş maili için şirket deseni/scrape. Profesyonel, randevuya açık.</t>
        </is>
      </c>
      <c r="O6" s="10" t="inlineStr">
        <is>
          <t>2025 itibarıyla Grup CEO.</t>
        </is>
      </c>
      <c r="P6" s="11">
        <f>HYPERLINK("https://www.bankfab.com/en-ae/about-fab/group/senior-management","Kaynak")</f>
        <v/>
      </c>
    </row>
    <row r="7" ht="52" customHeight="1">
      <c r="A7" s="8" t="n">
        <v>5</v>
      </c>
      <c r="B7" s="10" t="inlineStr">
        <is>
          <t>Telekom</t>
        </is>
      </c>
      <c r="C7" s="10" t="inlineStr">
        <is>
          <t>Fahad Al Hassawi</t>
        </is>
      </c>
      <c r="D7" s="10" t="inlineStr">
        <is>
          <t>Grup CEO</t>
        </is>
      </c>
      <c r="E7" s="10" t="inlineStr">
        <is>
          <t>du (EITC)</t>
        </is>
      </c>
      <c r="F7" s="10" t="inlineStr">
        <is>
          <t>BAE (Dubai)</t>
        </is>
      </c>
      <c r="G7" s="10" t="inlineStr">
        <is>
          <t>CCO/Deputy'den yükselen profesyonel, aktif medya</t>
        </is>
      </c>
      <c r="H7" s="10" t="inlineStr">
        <is>
          <t>Listeli BAE telekom operatörü du'nun Grup CEO'su</t>
        </is>
      </c>
      <c r="I7" s="11">
        <f>HYPERLINK("https://www.linkedin.com/search/results/people/?keywords=Fahad%20Al%20Hassawi%20du%20EITC","LinkedIn'de bul")</f>
        <v/>
      </c>
      <c r="J7" s="11">
        <f>HYPERLINK("https://www.du.ae","du.ae")</f>
        <v/>
      </c>
      <c r="K7" s="10" t="inlineStr"/>
      <c r="L7" s="10" t="inlineStr"/>
      <c r="M7" s="11">
        <f>IF($L7="","", HYPERLINK("https://wa.me/"&amp;SUBSTITUTE(SUBSTITUTE(SUBSTITUTE($L7,"+",""),"-","")," ",""),"WhatsApp'ta Aç"))</f>
        <v/>
      </c>
      <c r="N7" s="10" t="inlineStr">
        <is>
          <t>LinkedIn'de bağlan + kısa not; iş maili için şirket deseni/scrape. Profesyonel, randevuya açık.</t>
        </is>
      </c>
      <c r="O7" s="10" t="inlineStr">
        <is>
          <t>2025 itibarıyla Grup CEO.</t>
        </is>
      </c>
      <c r="P7" s="11">
        <f>HYPERLINK("https://www.du.ae/about/media-centre/newsdetail/eitc-board-confirms-the-appointment-of-fahad-all-hassawi-as-ceo","Kaynak")</f>
        <v/>
      </c>
    </row>
    <row r="8" ht="52" customHeight="1">
      <c r="A8" s="8" t="n">
        <v>6</v>
      </c>
      <c r="B8" s="10" t="inlineStr">
        <is>
          <t>Enerji</t>
        </is>
      </c>
      <c r="C8" s="10" t="inlineStr">
        <is>
          <t>Bader Saeed Al Lamki</t>
        </is>
      </c>
      <c r="D8" s="10" t="inlineStr">
        <is>
          <t>CEO</t>
        </is>
      </c>
      <c r="E8" s="10" t="inlineStr">
        <is>
          <t>ADNOC Distribution</t>
        </is>
      </c>
      <c r="F8" s="10" t="inlineStr">
        <is>
          <t>BAE (Abu Dabi)</t>
        </is>
      </c>
      <c r="G8" s="10" t="inlineStr">
        <is>
          <t>Kariyer enerji yöneticisi (ex-Tabreed CEO), ADIPEC konuşmacısı</t>
        </is>
      </c>
      <c r="H8" s="10" t="inlineStr">
        <is>
          <t>Listeli, sovereign-bağlantılı yakıt perakende şirketinin CEO'su</t>
        </is>
      </c>
      <c r="I8" s="11">
        <f>HYPERLINK("https://www.linkedin.com/search/results/people/?keywords=Bader%20Al%20Lamki%20ADNOC%20Distribution","LinkedIn'de bul")</f>
        <v/>
      </c>
      <c r="J8" s="11">
        <f>HYPERLINK("https://www.adnocdistribution.ae","adnocdistribution.ae")</f>
        <v/>
      </c>
      <c r="K8" s="10" t="inlineStr"/>
      <c r="L8" s="10" t="inlineStr"/>
      <c r="M8" s="11">
        <f>IF($L8="","", HYPERLINK("https://wa.me/"&amp;SUBSTITUTE(SUBSTITUTE(SUBSTITUTE($L8,"+",""),"-","")," ",""),"WhatsApp'ta Aç"))</f>
        <v/>
      </c>
      <c r="N8" s="10" t="inlineStr">
        <is>
          <t>LinkedIn'de bağlan + kısa not; iş maili için şirket deseni/scrape. Profesyonel, randevuya açık.</t>
        </is>
      </c>
      <c r="O8" s="10" t="inlineStr">
        <is>
          <t>2025 itibarıyla CEO.</t>
        </is>
      </c>
      <c r="P8" s="11">
        <f>HYPERLINK("https://www.adnocdistribution.ae/en/investor-relations/leadership","Kaynak")</f>
        <v/>
      </c>
    </row>
    <row r="9" ht="52" customHeight="1">
      <c r="A9" s="8" t="n">
        <v>7</v>
      </c>
      <c r="B9" s="10" t="inlineStr">
        <is>
          <t>Bankacılık</t>
        </is>
      </c>
      <c r="C9" s="10" t="inlineStr">
        <is>
          <t>Ahmed Abdelaal</t>
        </is>
      </c>
      <c r="D9" s="10" t="inlineStr">
        <is>
          <t>Grup CEO</t>
        </is>
      </c>
      <c r="E9" s="10" t="inlineStr">
        <is>
          <t>Mashreq Bank</t>
        </is>
      </c>
      <c r="F9" s="10" t="inlineStr">
        <is>
          <t>BAE (Dubai)</t>
        </is>
      </c>
      <c r="G9" s="10" t="inlineStr">
        <is>
          <t>ex-HSBC, içeriden yükseldi; 'CEO of the Year ME' Kasım 2025</t>
        </is>
      </c>
      <c r="H9" s="10" t="inlineStr">
        <is>
          <t>BAE'nin en büyük özel bankalarından birinin Grup CEO'su</t>
        </is>
      </c>
      <c r="I9" s="11">
        <f>HYPERLINK("https://www.linkedin.com/search/results/people/?keywords=Ahmed%20Abdelaal%20Mashreq","LinkedIn'de bul")</f>
        <v/>
      </c>
      <c r="J9" s="11">
        <f>HYPERLINK("https://www.mashreq.com","mashreq.com")</f>
        <v/>
      </c>
      <c r="K9" s="10" t="inlineStr"/>
      <c r="L9" s="10" t="inlineStr"/>
      <c r="M9" s="11">
        <f>IF($L9="","", HYPERLINK("https://wa.me/"&amp;SUBSTITUTE(SUBSTITUTE(SUBSTITUTE($L9,"+",""),"-","")," ",""),"WhatsApp'ta Aç"))</f>
        <v/>
      </c>
      <c r="N9" s="10" t="inlineStr">
        <is>
          <t>LinkedIn'de bağlan + kısa not; iş maili için şirket deseni/scrape. Profesyonel, randevuya açık.</t>
        </is>
      </c>
      <c r="O9" s="10" t="inlineStr">
        <is>
          <t>2025 itibarıyla Grup CEO.</t>
        </is>
      </c>
      <c r="P9" s="11">
        <f>HYPERLINK("https://www.mashreq.com/en/uae/about-us/our-company/corporate-governance/management-team/ahmed-abdelaal-ceo/","Kaynak")</f>
        <v/>
      </c>
    </row>
    <row r="10" ht="52" customHeight="1">
      <c r="A10" s="8" t="n">
        <v>8</v>
      </c>
      <c r="B10" s="10" t="inlineStr">
        <is>
          <t>Telekom / teknoloji</t>
        </is>
      </c>
      <c r="C10" s="10" t="inlineStr">
        <is>
          <t>Khalid Murshed</t>
        </is>
      </c>
      <c r="D10" s="10" t="inlineStr">
        <is>
          <t>CEO, e&amp; enterprise</t>
        </is>
      </c>
      <c r="E10" s="10" t="inlineStr">
        <is>
          <t>e&amp; enterprise</t>
        </is>
      </c>
      <c r="F10" s="10" t="inlineStr">
        <is>
          <t>BAE (Abu Dabi/Dubai)</t>
        </is>
      </c>
      <c r="G10" s="10" t="inlineStr">
        <is>
          <t>ex-Group CTIO, teknoloji liderliği konuşmacısı</t>
        </is>
      </c>
      <c r="H10" s="10" t="inlineStr">
        <is>
          <t>Çok milyarlık listeli e&amp; grubunun B2B/dijital kolunun CEO'su</t>
        </is>
      </c>
      <c r="I10" s="11">
        <f>HYPERLINK("https://ae.linkedin.com/in/khalid-murshed-299b2852","LinkedIn profili")</f>
        <v/>
      </c>
      <c r="J10" s="11">
        <f>HYPERLINK("https://www.eandenterprise.com","eandenterprise.com")</f>
        <v/>
      </c>
      <c r="K10" s="10" t="inlineStr"/>
      <c r="L10" s="10" t="inlineStr"/>
      <c r="M10" s="11">
        <f>IF($L10="","", HYPERLINK("https://wa.me/"&amp;SUBSTITUTE(SUBSTITUTE(SUBSTITUTE($L10,"+",""),"-","")," ",""),"WhatsApp'ta Aç"))</f>
        <v/>
      </c>
      <c r="N10" s="10" t="inlineStr">
        <is>
          <t>LinkedIn'de bağlan + kısa not; iş maili için şirket deseni/scrape. Profesyonel, randevuya açık.</t>
        </is>
      </c>
      <c r="O10" s="10" t="inlineStr">
        <is>
          <t>2025 başında CEO atandı.</t>
        </is>
      </c>
      <c r="P10" s="11">
        <f>HYPERLINK("https://www.eandenterprise.com/en/about-us/meet-our-team/khalid-murshed.html","Kaynak")</f>
        <v/>
      </c>
    </row>
    <row r="11" ht="52" customHeight="1">
      <c r="A11" s="8" t="n">
        <v>9</v>
      </c>
      <c r="B11" s="10" t="inlineStr">
        <is>
          <t>Perakende</t>
        </is>
      </c>
      <c r="C11" s="10" t="inlineStr">
        <is>
          <t>Saifee Rupawala</t>
        </is>
      </c>
      <c r="D11" s="10" t="inlineStr">
        <is>
          <t>CEO</t>
        </is>
      </c>
      <c r="E11" s="10" t="inlineStr">
        <is>
          <t>Lulu Retail Holdings</t>
        </is>
      </c>
      <c r="F11" s="10" t="inlineStr">
        <is>
          <t>BAE (Abu Dabi)</t>
        </is>
      </c>
      <c r="G11" s="10" t="inlineStr">
        <is>
          <t>Kariyer yöneticisi (sahip Yusuffali değil), aktif LinkedIn</t>
        </is>
      </c>
      <c r="H11" s="10" t="inlineStr">
        <is>
          <t>Listeli (ADX) büyük perakende grubunun CEO'su</t>
        </is>
      </c>
      <c r="I11" s="11">
        <f>HYPERLINK("https://www.linkedin.com/in/saifee-rupawala-ab2902207/","LinkedIn profili")</f>
        <v/>
      </c>
      <c r="J11" s="11">
        <f>HYPERLINK("https://www.luluretail.com","luluretail.com")</f>
        <v/>
      </c>
      <c r="K11" s="10" t="inlineStr"/>
      <c r="L11" s="10" t="inlineStr"/>
      <c r="M11" s="11">
        <f>IF($L11="","", HYPERLINK("https://wa.me/"&amp;SUBSTITUTE(SUBSTITUTE(SUBSTITUTE($L11,"+",""),"-","")," ",""),"WhatsApp'ta Aç"))</f>
        <v/>
      </c>
      <c r="N11" s="10" t="inlineStr">
        <is>
          <t>LinkedIn'de bağlan + kısa not; iş maili için şirket deseni/scrape. Profesyonel, randevuya açık.</t>
        </is>
      </c>
      <c r="O11" s="10" t="inlineStr">
        <is>
          <t>Tem 2024'ten beri CEO, 2025'te devam.</t>
        </is>
      </c>
      <c r="P11" s="11">
        <f>HYPERLINK("https://www.luluretail.com/about-us/senior-management/","Kaynak")</f>
        <v/>
      </c>
    </row>
    <row r="12" ht="52" customHeight="1">
      <c r="A12" s="8" t="n">
        <v>10</v>
      </c>
      <c r="B12" s="10" t="inlineStr">
        <is>
          <t>Bankacılık</t>
        </is>
      </c>
      <c r="C12" s="10" t="inlineStr">
        <is>
          <t>Abdulla Mubarak Al-Khalifa</t>
        </is>
      </c>
      <c r="D12" s="10" t="inlineStr">
        <is>
          <t>Grup CEO</t>
        </is>
      </c>
      <c r="E12" s="10" t="inlineStr">
        <is>
          <t>Qatar National Bank (QNB)</t>
        </is>
      </c>
      <c r="F12" s="10" t="inlineStr">
        <is>
          <t>Katar (Doha)</t>
        </is>
      </c>
      <c r="G12" s="10" t="inlineStr">
        <is>
          <t>Kariyer bankacısı, Forbes/Gulf Business CEO listeleri</t>
        </is>
      </c>
      <c r="H12" s="10" t="inlineStr">
        <is>
          <t>Ortadoğu-Afrika'nın varlıkça en büyük bankasının Grup CEO'su</t>
        </is>
      </c>
      <c r="I12" s="11">
        <f>HYPERLINK("https://www.linkedin.com/search/results/people/?keywords=Abdulla%20Mubarak%20Al-Khalifa%20QNB","LinkedIn'de bul")</f>
        <v/>
      </c>
      <c r="J12" s="11">
        <f>HYPERLINK("https://www.qnb.com","qnb.com")</f>
        <v/>
      </c>
      <c r="K12" s="10" t="inlineStr"/>
      <c r="L12" s="10" t="inlineStr"/>
      <c r="M12" s="11">
        <f>IF($L12="","", HYPERLINK("https://wa.me/"&amp;SUBSTITUTE(SUBSTITUTE(SUBSTITUTE($L12,"+",""),"-","")," ",""),"WhatsApp'ta Aç"))</f>
        <v/>
      </c>
      <c r="N12" s="10" t="inlineStr">
        <is>
          <t>LinkedIn'de bağlan + kısa not; iş maili için şirket deseni/scrape. Profesyonel, randevuya açık.</t>
        </is>
      </c>
      <c r="O12" s="10" t="inlineStr">
        <is>
          <t>2025 itibarıyla Grup CEO.</t>
        </is>
      </c>
      <c r="P12" s="11">
        <f>HYPERLINK("https://gulfbusiness.com/top-ceos-2025/abdulla-mubarak-nasser-al-khalifa/","Kaynak")</f>
        <v/>
      </c>
    </row>
    <row r="13" ht="52" customHeight="1">
      <c r="A13" s="8" t="n">
        <v>11</v>
      </c>
      <c r="B13" s="10" t="inlineStr">
        <is>
          <t>Telekom</t>
        </is>
      </c>
      <c r="C13" s="10" t="inlineStr">
        <is>
          <t>Aziz Aluthman Fakhroo</t>
        </is>
      </c>
      <c r="D13" s="10" t="inlineStr">
        <is>
          <t>Grup CEO / MD</t>
        </is>
      </c>
      <c r="E13" s="10" t="inlineStr">
        <is>
          <t>Ooredoo Group</t>
        </is>
      </c>
      <c r="F13" s="10" t="inlineStr">
        <is>
          <t>Katar (Doha)</t>
        </is>
      </c>
      <c r="G13" s="10" t="inlineStr">
        <is>
          <t>ex-Katar MoF/QIA, MWC/Bloomberg konuşmacısı</t>
        </is>
      </c>
      <c r="H13" s="10" t="inlineStr">
        <is>
          <t>~147m müşterili listeli telekom grubunun Grup CEO'su</t>
        </is>
      </c>
      <c r="I13" s="11">
        <f>HYPERLINK("https://www.linkedin.com/search/results/people/?keywords=Aziz%20Aluthman%20Fakhroo%20Ooredoo","LinkedIn'de bul")</f>
        <v/>
      </c>
      <c r="J13" s="11">
        <f>HYPERLINK("https://www.ooredoo.com","ooredoo.com")</f>
        <v/>
      </c>
      <c r="K13" s="10" t="inlineStr"/>
      <c r="L13" s="10" t="inlineStr"/>
      <c r="M13" s="11">
        <f>IF($L13="","", HYPERLINK("https://wa.me/"&amp;SUBSTITUTE(SUBSTITUTE(SUBSTITUTE($L13,"+",""),"-","")," ",""),"WhatsApp'ta Aç"))</f>
        <v/>
      </c>
      <c r="N13" s="10" t="inlineStr">
        <is>
          <t>LinkedIn'de bağlan + kısa not; iş maili için şirket deseni/scrape. Profesyonel, randevuya açık.</t>
        </is>
      </c>
      <c r="O13" s="10" t="inlineStr">
        <is>
          <t>2025 itibarıyla Grup CEO/MD.</t>
        </is>
      </c>
      <c r="P13" s="11">
        <f>HYPERLINK("https://www.ooredoo.com/en/who_we_are/governance_team/group-executive-management/","Kaynak")</f>
        <v/>
      </c>
    </row>
    <row r="14" ht="52" customHeight="1">
      <c r="A14" s="8" t="n">
        <v>12</v>
      </c>
      <c r="B14" s="10" t="inlineStr">
        <is>
          <t>Bankacılık</t>
        </is>
      </c>
      <c r="C14" s="10" t="inlineStr">
        <is>
          <t>Stephen Moss</t>
        </is>
      </c>
      <c r="D14" s="10" t="inlineStr">
        <is>
          <t>Grup CEO</t>
        </is>
      </c>
      <c r="E14" s="10" t="inlineStr">
        <is>
          <t>Commercial Bank of Qatar</t>
        </is>
      </c>
      <c r="F14" s="10" t="inlineStr">
        <is>
          <t>Katar (Doha)</t>
        </is>
      </c>
      <c r="G14" s="10" t="inlineStr">
        <is>
          <t>33 yıllık HSBC veteranı (ex-Bölge CEO MENAT)</t>
        </is>
      </c>
      <c r="H14" s="10" t="inlineStr">
        <is>
          <t>Büyük listeli Katar bankasının yeni Grup CEO'su</t>
        </is>
      </c>
      <c r="I14" s="11">
        <f>HYPERLINK("https://www.linkedin.com/search/results/people/?keywords=Stephen%20Moss%20Commercial%20Bank%20Qatar","LinkedIn'de bul")</f>
        <v/>
      </c>
      <c r="J14" s="11">
        <f>HYPERLINK("https://www.cbq.qa","cbq.qa")</f>
        <v/>
      </c>
      <c r="K14" s="10" t="inlineStr"/>
      <c r="L14" s="10" t="inlineStr"/>
      <c r="M14" s="11">
        <f>IF($L14="","", HYPERLINK("https://wa.me/"&amp;SUBSTITUTE(SUBSTITUTE(SUBSTITUTE($L14,"+",""),"-","")," ",""),"WhatsApp'ta Aç"))</f>
        <v/>
      </c>
      <c r="N14" s="10" t="inlineStr">
        <is>
          <t>LinkedIn'de bağlan + kısa not; iş maili için şirket deseni/scrape. Profesyonel, randevuya açık.</t>
        </is>
      </c>
      <c r="O14" s="10" t="inlineStr">
        <is>
          <t>1 Ağu 2025'te Grup CEO oldu.</t>
        </is>
      </c>
      <c r="P14" s="11">
        <f>HYPERLINK("https://www.cbq.qa/en/about-us/news/list/commercial-bank-appoints-stephen-moss-as-group-chief-executive-officer","Kaynak")</f>
        <v/>
      </c>
    </row>
    <row r="15" ht="52" customHeight="1">
      <c r="A15" s="8" t="n">
        <v>13</v>
      </c>
      <c r="B15" s="10" t="inlineStr">
        <is>
          <t>Telekom</t>
        </is>
      </c>
      <c r="C15" s="10" t="inlineStr">
        <is>
          <t>Olayan Alwetaid</t>
        </is>
      </c>
      <c r="D15" s="10" t="inlineStr">
        <is>
          <t>Grup CEO</t>
        </is>
      </c>
      <c r="E15" s="10" t="inlineStr">
        <is>
          <t>stc (Saudi Telecom)</t>
        </is>
      </c>
      <c r="F15" s="10" t="inlineStr">
        <is>
          <t>Suudi Arabistan (Riyad)</t>
        </is>
      </c>
      <c r="G15" s="10" t="inlineStr">
        <is>
          <t>Aktif LinkedIn, sık uluslararası konferans (FII, GSMA)</t>
        </is>
      </c>
      <c r="H15" s="10" t="inlineStr">
        <is>
          <t>Ortadoğu'nun en büyük telekom operatörünün (PIF, Tadawul) Grup CEO'su</t>
        </is>
      </c>
      <c r="I15" s="11">
        <f>HYPERLINK("https://sa.linkedin.com/in/olayan-alwetaid-2a4a163","LinkedIn profili")</f>
        <v/>
      </c>
      <c r="J15" s="11">
        <f>HYPERLINK("https://www.stc.com.sa","stc.com.sa")</f>
        <v/>
      </c>
      <c r="K15" s="10" t="inlineStr"/>
      <c r="L15" s="10" t="inlineStr"/>
      <c r="M15" s="11">
        <f>IF($L15="","", HYPERLINK("https://wa.me/"&amp;SUBSTITUTE(SUBSTITUTE(SUBSTITUTE($L15,"+",""),"-","")," ",""),"WhatsApp'ta Aç"))</f>
        <v/>
      </c>
      <c r="N15" s="10" t="inlineStr">
        <is>
          <t>LinkedIn'de bağlan + kısa not; iş maili için şirket deseni/scrape. Profesyonel, randevuya açık.</t>
        </is>
      </c>
      <c r="O15" s="10" t="inlineStr">
        <is>
          <t>Mart 2021'den beri Grup CEO, 2025-2026 devam.</t>
        </is>
      </c>
      <c r="P15" s="11">
        <f>HYPERLINK("https://gulfbusiness.com/en/2025/lists/mena-regions-most-influential-ceos-of-2025/olayan-alwetaid/","Kaynak")</f>
        <v/>
      </c>
    </row>
    <row r="16" ht="52" customHeight="1">
      <c r="A16" s="8" t="n">
        <v>14</v>
      </c>
      <c r="B16" s="10" t="inlineStr">
        <is>
          <t>Bankacılık</t>
        </is>
      </c>
      <c r="C16" s="10" t="inlineStr">
        <is>
          <t>Tareq Al-Sadhan</t>
        </is>
      </c>
      <c r="D16" s="10" t="inlineStr">
        <is>
          <t>MD &amp; Grup CEO</t>
        </is>
      </c>
      <c r="E16" s="10" t="inlineStr">
        <is>
          <t>Saudi National Bank (SNB)</t>
        </is>
      </c>
      <c r="F16" s="10" t="inlineStr">
        <is>
          <t>Suudi Arabistan (Riyad)</t>
        </is>
      </c>
      <c r="G16" s="10" t="inlineStr">
        <is>
          <t>Public CEO (Arab News profili), ex-Riyad Bank CEO</t>
        </is>
      </c>
      <c r="H16" s="10" t="inlineStr">
        <is>
          <t>Suudi'nin varlıkça en büyük bankasının (Tadawul) Grup CEO'su</t>
        </is>
      </c>
      <c r="I16" s="11">
        <f>HYPERLINK("https://www.linkedin.com/in/tareq-alsadhan-2313403/","LinkedIn profili")</f>
        <v/>
      </c>
      <c r="J16" s="11">
        <f>HYPERLINK("https://www.alahli.com","alahli.com")</f>
        <v/>
      </c>
      <c r="K16" s="10" t="inlineStr"/>
      <c r="L16" s="10" t="inlineStr"/>
      <c r="M16" s="11">
        <f>IF($L16="","", HYPERLINK("https://wa.me/"&amp;SUBSTITUTE(SUBSTITUTE(SUBSTITUTE($L16,"+",""),"-","")," ",""),"WhatsApp'ta Aç"))</f>
        <v/>
      </c>
      <c r="N16" s="10" t="inlineStr">
        <is>
          <t>LinkedIn'de bağlan + kısa not; iş maili için şirket deseni/scrape. Profesyonel, randevuya açık.</t>
        </is>
      </c>
      <c r="O16" s="10" t="inlineStr">
        <is>
          <t>May 2024'ten beri MD&amp;CEO.</t>
        </is>
      </c>
      <c r="P16" s="11">
        <f>HYPERLINK("https://www.alahli.com/en/news/resignation-of-the-acting-ceo-and-appointment-of-the-ceo","Kaynak")</f>
        <v/>
      </c>
    </row>
    <row r="17" ht="52" customHeight="1">
      <c r="A17" s="8" t="n">
        <v>15</v>
      </c>
      <c r="B17" s="10" t="inlineStr">
        <is>
          <t>Bankacılık</t>
        </is>
      </c>
      <c r="C17" s="10" t="inlineStr">
        <is>
          <t>Waleed Al-Mogbel</t>
        </is>
      </c>
      <c r="D17" s="10" t="inlineStr">
        <is>
          <t>CEO &amp; MD</t>
        </is>
      </c>
      <c r="E17" s="10" t="inlineStr">
        <is>
          <t>Al Rajhi Bank</t>
        </is>
      </c>
      <c r="F17" s="10" t="inlineStr">
        <is>
          <t>Suudi Arabistan (Riyad)</t>
        </is>
      </c>
      <c r="G17" s="10" t="inlineStr">
        <is>
          <t>ex-COO/Deputy, içeriden yükseldi; kazanç sözcüsü</t>
        </is>
      </c>
      <c r="H17" s="10" t="inlineStr">
        <is>
          <t>Dünyanın en büyük İslami bankasının CEO'su</t>
        </is>
      </c>
      <c r="I17" s="11">
        <f>HYPERLINK("https://www.linkedin.com/search/results/people/?keywords=Waleed%20Al-Mogbel%20Al%20Rajhi%20Bank","LinkedIn'de bul")</f>
        <v/>
      </c>
      <c r="J17" s="11">
        <f>HYPERLINK("https://www.alrajhibank.com.sa","alrajhibank.com.sa")</f>
        <v/>
      </c>
      <c r="K17" s="10" t="inlineStr"/>
      <c r="L17" s="10" t="inlineStr"/>
      <c r="M17" s="11">
        <f>IF($L17="","", HYPERLINK("https://wa.me/"&amp;SUBSTITUTE(SUBSTITUTE(SUBSTITUTE($L17,"+",""),"-","")," ",""),"WhatsApp'ta Aç"))</f>
        <v/>
      </c>
      <c r="N17" s="10" t="inlineStr">
        <is>
          <t>LinkedIn'de bağlan + kısa not; iş maili için şirket deseni/scrape. Profesyonel, randevuya açık.</t>
        </is>
      </c>
      <c r="O17" s="10" t="inlineStr">
        <is>
          <t>2021/22'den beri CEO&amp;MD.</t>
        </is>
      </c>
      <c r="P17" s="11">
        <f>HYPERLINK("https://www.alrajhibank.com.sa/en/About-alrajhi-bank/Executive-Management/Chief-Executive-Officer","Kaynak")</f>
        <v/>
      </c>
    </row>
    <row r="18" ht="52" customHeight="1">
      <c r="A18" s="8" t="n">
        <v>16</v>
      </c>
      <c r="B18" s="10" t="inlineStr">
        <is>
          <t>Enerji</t>
        </is>
      </c>
      <c r="C18" s="10" t="inlineStr">
        <is>
          <t>Ziad Al-Murshed</t>
        </is>
      </c>
      <c r="D18" s="10" t="inlineStr">
        <is>
          <t>EVP &amp; CFO</t>
        </is>
      </c>
      <c r="E18" s="10" t="inlineStr">
        <is>
          <t>Saudi Aramco</t>
        </is>
      </c>
      <c r="F18" s="10" t="inlineStr">
        <is>
          <t>Suudi Arabistan (Dhahran)</t>
        </is>
      </c>
      <c r="G18" s="10" t="inlineStr">
        <is>
          <t>Sık konferans (MIT Sloan CFO, Money 20/20 ME)</t>
        </is>
      </c>
      <c r="H18" s="10" t="inlineStr">
        <is>
          <t>Dünyanın en değerli petrol şirketinin CFO'su, SABIC kurul üyesi</t>
        </is>
      </c>
      <c r="I18" s="11">
        <f>HYPERLINK("https://www.linkedin.com/search/results/people/?keywords=Ziad%20Al-Murshed%20Aramco%20CFO","LinkedIn'de bul")</f>
        <v/>
      </c>
      <c r="J18" s="11">
        <f>HYPERLINK("https://www.aramco.com","aramco.com")</f>
        <v/>
      </c>
      <c r="K18" s="10" t="inlineStr"/>
      <c r="L18" s="10" t="inlineStr"/>
      <c r="M18" s="11">
        <f>IF($L18="","", HYPERLINK("https://wa.me/"&amp;SUBSTITUTE(SUBSTITUTE(SUBSTITUTE($L18,"+",""),"-","")," ",""),"WhatsApp'ta Aç"))</f>
        <v/>
      </c>
      <c r="N18" s="10" t="inlineStr">
        <is>
          <t>LinkedIn'de bağlan + kısa not; iş maili için şirket deseni/scrape. Profesyonel, randevuya açık.</t>
        </is>
      </c>
      <c r="O18" s="10" t="inlineStr">
        <is>
          <t>May 2022'den beri EVP&amp;CFO.</t>
        </is>
      </c>
      <c r="P18" s="11">
        <f>HYPERLINK("https://www.aramco.com/en/about-us/our-leadership/ziad-al-murshed","Kaynak")</f>
        <v/>
      </c>
    </row>
    <row r="19" ht="52" customHeight="1">
      <c r="A19" s="8" t="n">
        <v>17</v>
      </c>
      <c r="B19" s="10" t="inlineStr">
        <is>
          <t>Telekom</t>
        </is>
      </c>
      <c r="C19" s="10" t="inlineStr">
        <is>
          <t>Faisal Alsaber</t>
        </is>
      </c>
      <c r="D19" s="10" t="inlineStr">
        <is>
          <t>Grup CFO</t>
        </is>
      </c>
      <c r="E19" s="10" t="inlineStr">
        <is>
          <t>stc (Saudi Telecom)</t>
        </is>
      </c>
      <c r="F19" s="10" t="inlineStr">
        <is>
          <t>Suudi Arabistan (Riyad)</t>
        </is>
      </c>
      <c r="G19" s="10" t="inlineStr">
        <is>
          <t>Resmî liderlik sayfasında, IR sözcüsü</t>
        </is>
      </c>
      <c r="H19" s="10" t="inlineStr">
        <is>
          <t>Ortadoğu'nun en büyük telekomunun (PIF, Tadawul) Grup CFO'su</t>
        </is>
      </c>
      <c r="I19" s="11">
        <f>HYPERLINK("https://www.linkedin.com/search/results/people/?keywords=Faisal%20Alsaber%20stc%20CFO","LinkedIn'de bul")</f>
        <v/>
      </c>
      <c r="J19" s="11">
        <f>HYPERLINK("https://www.stc.com.sa","stc.com.sa")</f>
        <v/>
      </c>
      <c r="K19" s="10" t="inlineStr"/>
      <c r="L19" s="10" t="inlineStr"/>
      <c r="M19" s="11">
        <f>IF($L19="","", HYPERLINK("https://wa.me/"&amp;SUBSTITUTE(SUBSTITUTE(SUBSTITUTE($L19,"+",""),"-","")," ",""),"WhatsApp'ta Aç"))</f>
        <v/>
      </c>
      <c r="N19" s="10" t="inlineStr">
        <is>
          <t>LinkedIn'de bağlan + kısa not; iş maili için şirket deseni/scrape. Profesyonel, randevuya açık.</t>
        </is>
      </c>
      <c r="O19" s="10" t="inlineStr">
        <is>
          <t>2025 resmî liderlik sayfasında Grup CFO.</t>
        </is>
      </c>
      <c r="P19" s="11">
        <f>HYPERLINK("https://www.stc.com/content/stcgroupwebsite/sa/en/who-we-are/board-of-directors-and-executive-management.html","Kaynak")</f>
        <v/>
      </c>
    </row>
    <row r="20" ht="52" customHeight="1">
      <c r="A20" s="8" t="n">
        <v>18</v>
      </c>
      <c r="B20" s="10" t="inlineStr">
        <is>
          <t>Petrokimya</t>
        </is>
      </c>
      <c r="C20" s="10" t="inlineStr">
        <is>
          <t>Faisal Al-Faqeer</t>
        </is>
      </c>
      <c r="D20" s="10" t="inlineStr">
        <is>
          <t>CEO</t>
        </is>
      </c>
      <c r="E20" s="10" t="inlineStr">
        <is>
          <t>SABIC</t>
        </is>
      </c>
      <c r="F20" s="10" t="inlineStr">
        <is>
          <t>Suudi Arabistan (Riyad)</t>
        </is>
      </c>
      <c r="G20" s="10" t="inlineStr">
        <is>
          <t>30+ yıl kariyer (ex-Aramco SVP, ex-Sadara CEO)</t>
        </is>
      </c>
      <c r="H20" s="10" t="inlineStr">
        <is>
          <t>Dünyanın en büyük petrokimya şirketlerinden birinin (Tadawul) CEO'su</t>
        </is>
      </c>
      <c r="I20" s="11">
        <f>HYPERLINK("https://www.linkedin.com/search/results/people/?keywords=Faisal%20Al-Faqeer%20SABIC","LinkedIn'de bul")</f>
        <v/>
      </c>
      <c r="J20" s="11">
        <f>HYPERLINK("https://www.sabic.com","sabic.com")</f>
        <v/>
      </c>
      <c r="K20" s="10" t="inlineStr"/>
      <c r="L20" s="10" t="inlineStr"/>
      <c r="M20" s="11">
        <f>IF($L20="","", HYPERLINK("https://wa.me/"&amp;SUBSTITUTE(SUBSTITUTE(SUBSTITUTE($L20,"+",""),"-","")," ",""),"WhatsApp'ta Aç"))</f>
        <v/>
      </c>
      <c r="N20" s="10" t="inlineStr">
        <is>
          <t>LinkedIn'de bağlan + kısa not; iş maili için şirket deseni/scrape. Profesyonel, randevuya açık.</t>
        </is>
      </c>
      <c r="O20" s="10" t="inlineStr">
        <is>
          <t>1 Nis 2026'da CEO oldu.</t>
        </is>
      </c>
      <c r="P20" s="11">
        <f>HYPERLINK("https://www.sabic.com/en/news/49421-retirement-of-abdulrahman-al-fageeh-and-appointment-of-faisal-al-faqeer-as-ceo","Kaynak")</f>
        <v/>
      </c>
    </row>
    <row r="21" ht="52" customHeight="1">
      <c r="A21" s="8" t="n">
        <v>19</v>
      </c>
      <c r="B21" s="10" t="inlineStr">
        <is>
          <t>Havacılık</t>
        </is>
      </c>
      <c r="C21" s="10" t="inlineStr">
        <is>
          <t>Ibrahim Al-Omar</t>
        </is>
      </c>
      <c r="D21" s="10" t="inlineStr">
        <is>
          <t>Genel Müdür (Grup CEO)</t>
        </is>
      </c>
      <c r="E21" s="10" t="inlineStr">
        <is>
          <t>Saudia Group</t>
        </is>
      </c>
      <c r="F21" s="10" t="inlineStr">
        <is>
          <t>Suudi Arabistan (Cidde)</t>
        </is>
      </c>
      <c r="G21" s="10" t="inlineStr">
        <is>
          <t>Sık havacılık konferansı/röportaj (OBG, Arab News)</t>
        </is>
      </c>
      <c r="H21" s="10" t="inlineStr">
        <is>
          <t>Suudi ulusal taşıyıcısının başında, çok milyarlık filo genişlemesi</t>
        </is>
      </c>
      <c r="I21" s="11">
        <f>HYPERLINK("https://www.linkedin.com/search/results/people/?keywords=Ibrahim%20Al-Omar%20Saudia","LinkedIn'de bul")</f>
        <v/>
      </c>
      <c r="J21" s="11">
        <f>HYPERLINK("https://www.saudia.com","saudia.com")</f>
        <v/>
      </c>
      <c r="K21" s="10" t="inlineStr"/>
      <c r="L21" s="10" t="inlineStr"/>
      <c r="M21" s="11">
        <f>IF($L21="","", HYPERLINK("https://wa.me/"&amp;SUBSTITUTE(SUBSTITUTE(SUBSTITUTE($L21,"+",""),"-","")," ",""),"WhatsApp'ta Aç"))</f>
        <v/>
      </c>
      <c r="N21" s="10" t="inlineStr">
        <is>
          <t>LinkedIn'de bağlan + kısa not; iş maili için şirket deseni/scrape. Profesyonel, randevuya açık.</t>
        </is>
      </c>
      <c r="O21" s="10" t="inlineStr">
        <is>
          <t>Ekim 2020'den beri Genel Müdür.</t>
        </is>
      </c>
      <c r="P21" s="11">
        <f>HYPERLINK("https://www.aviationbusinessme.com/saudi-arabia/revealed-saudi-aviation-power-list-2025","Kaynak")</f>
        <v/>
      </c>
    </row>
    <row r="22" ht="52" customHeight="1">
      <c r="A22" s="8" t="n">
        <v>20</v>
      </c>
      <c r="B22" s="10" t="inlineStr">
        <is>
          <t>Telekom</t>
        </is>
      </c>
      <c r="C22" s="10" t="inlineStr">
        <is>
          <t>Saad AlSadhan</t>
        </is>
      </c>
      <c r="D22" s="10" t="inlineStr">
        <is>
          <t>CEO</t>
        </is>
      </c>
      <c r="E22" s="10" t="inlineStr">
        <is>
          <t>Zain KSA</t>
        </is>
      </c>
      <c r="F22" s="10" t="inlineStr">
        <is>
          <t>Suudi Arabistan (Riyad)</t>
        </is>
      </c>
      <c r="G22" s="10" t="inlineStr">
        <is>
          <t>İçeriden yükselen profesyonel (ex-CBO)</t>
        </is>
      </c>
      <c r="H22" s="10" t="inlineStr">
        <is>
          <t>Büyük Tadawul-listeli telekom operatörünün CEO'su</t>
        </is>
      </c>
      <c r="I22" s="11">
        <f>HYPERLINK("https://www.linkedin.com/search/results/people/?keywords=Saad%20AlSadhan%20Zain%20KSA","LinkedIn'de bul")</f>
        <v/>
      </c>
      <c r="J22" s="11">
        <f>HYPERLINK("https://sa.zain.com","sa.zain.com")</f>
        <v/>
      </c>
      <c r="K22" s="10" t="inlineStr"/>
      <c r="L22" s="10" t="inlineStr"/>
      <c r="M22" s="11">
        <f>IF($L22="","", HYPERLINK("https://wa.me/"&amp;SUBSTITUTE(SUBSTITUTE(SUBSTITUTE($L22,"+",""),"-","")," ",""),"WhatsApp'ta Aç"))</f>
        <v/>
      </c>
      <c r="N22" s="10" t="inlineStr">
        <is>
          <t>LinkedIn'de bağlan + kısa not; iş maili için şirket deseni/scrape. Profesyonel, randevuya açık.</t>
        </is>
      </c>
      <c r="O22" s="10" t="inlineStr">
        <is>
          <t>1 Tem 2025'te CEO.</t>
        </is>
      </c>
      <c r="P22" s="11">
        <f>HYPERLINK("https://sa.zain.com/en/all-news/zain-ksa-appoints-eng-saad-bin-abdulrahman-alsadhan-chief-executive-officer","Kaynak")</f>
        <v/>
      </c>
    </row>
    <row r="23" ht="52" customHeight="1">
      <c r="A23" s="8" t="n">
        <v>21</v>
      </c>
      <c r="B23" s="10" t="inlineStr">
        <is>
          <t>Bankacılık</t>
        </is>
      </c>
      <c r="C23" s="10" t="inlineStr">
        <is>
          <t>Isam Al-Sager</t>
        </is>
      </c>
      <c r="D23" s="10" t="inlineStr">
        <is>
          <t>Başkan Yrd. &amp; Grup CEO</t>
        </is>
      </c>
      <c r="E23" s="10" t="inlineStr">
        <is>
          <t>National Bank of Kuwait (NBK)</t>
        </is>
      </c>
      <c r="F23" s="10" t="inlineStr">
        <is>
          <t>Kuveyt (Kuveyt City)</t>
        </is>
      </c>
      <c r="G23" s="10" t="inlineStr">
        <is>
          <t>Kariyer bankacısı, sık röportaj (OBG, Forbes)</t>
        </is>
      </c>
      <c r="H23" s="10" t="inlineStr">
        <is>
          <t>Kuveyt'in en büyük bankasının Grup CEO'su; Forbes ME 2025</t>
        </is>
      </c>
      <c r="I23" s="11">
        <f>HYPERLINK("https://www.linkedin.com/search/results/people/?keywords=Isam%20Al-Sager%20National%20Bank%20of%20Kuwait","LinkedIn'de bul")</f>
        <v/>
      </c>
      <c r="J23" s="11">
        <f>HYPERLINK("https://www.nbk.com","nbk.com")</f>
        <v/>
      </c>
      <c r="K23" s="10" t="inlineStr"/>
      <c r="L23" s="10" t="inlineStr"/>
      <c r="M23" s="11">
        <f>IF($L23="","", HYPERLINK("https://wa.me/"&amp;SUBSTITUTE(SUBSTITUTE(SUBSTITUTE($L23,"+",""),"-","")," ",""),"WhatsApp'ta Aç"))</f>
        <v/>
      </c>
      <c r="N23" s="10" t="inlineStr">
        <is>
          <t>LinkedIn'de bağlan + kısa not; iş maili için şirket deseni/scrape. Profesyonel, randevuya açık.</t>
        </is>
      </c>
      <c r="O23" s="10" t="inlineStr">
        <is>
          <t>2014'ten beri Grup CEO.</t>
        </is>
      </c>
      <c r="P23" s="11">
        <f>HYPERLINK("https://oxfordbusinessgroup.com/articles-interviews/future-finance-isam-al-sager-group-ceo-national-bank-of-kuwait","Kaynak")</f>
        <v/>
      </c>
    </row>
    <row r="24" ht="52" customHeight="1">
      <c r="A24" s="8" t="n">
        <v>22</v>
      </c>
      <c r="B24" s="10" t="inlineStr">
        <is>
          <t>Bankacılık</t>
        </is>
      </c>
      <c r="C24" s="10" t="inlineStr">
        <is>
          <t>Abdulwahab Al-Roshood</t>
        </is>
      </c>
      <c r="D24" s="10" t="inlineStr">
        <is>
          <t>Grup CEO</t>
        </is>
      </c>
      <c r="E24" s="10" t="inlineStr">
        <is>
          <t>Kuwait Finance House (KFH)</t>
        </is>
      </c>
      <c r="F24" s="10" t="inlineStr">
        <is>
          <t>Kuveyt (Kuveyt City)</t>
        </is>
      </c>
      <c r="G24" s="10" t="inlineStr">
        <is>
          <t>Sık röportaj (Global Finance, OBG), kazanç sözcüsü</t>
        </is>
      </c>
      <c r="H24" s="10" t="inlineStr">
        <is>
          <t>Kuveyt bankacılık sektörünün en yüksek kârlı bankasının Grup CEO'su</t>
        </is>
      </c>
      <c r="I24" s="11">
        <f>HYPERLINK("https://www.linkedin.com/search/results/people/?keywords=Abdulwahab%20Al-Roshood%20Kuwait%20Finance%20House","LinkedIn'de bul")</f>
        <v/>
      </c>
      <c r="J24" s="11">
        <f>HYPERLINK("https://www.kfh.com","kfh.com")</f>
        <v/>
      </c>
      <c r="K24" s="10" t="inlineStr"/>
      <c r="L24" s="10" t="inlineStr"/>
      <c r="M24" s="11">
        <f>IF($L24="","", HYPERLINK("https://wa.me/"&amp;SUBSTITUTE(SUBSTITUTE(SUBSTITUTE($L24,"+",""),"-","")," ",""),"WhatsApp'ta Aç"))</f>
        <v/>
      </c>
      <c r="N24" s="10" t="inlineStr">
        <is>
          <t>LinkedIn'de bağlan + kısa not; iş maili için şirket deseni/scrape. Profesyonel, randevuya açık.</t>
        </is>
      </c>
      <c r="O24" s="10" t="inlineStr">
        <is>
          <t>FY2025'i yöneten Grup CEO.</t>
        </is>
      </c>
      <c r="P24" s="11">
        <f>HYPERLINK("https://businesstoday.me/money/kfh-posts-kuwait-banking-sectors-best-profit-in-fy2025/","Kaynak")</f>
        <v/>
      </c>
    </row>
    <row r="25" ht="52" customHeight="1">
      <c r="A25" s="8" t="n">
        <v>23</v>
      </c>
      <c r="B25" s="10" t="inlineStr">
        <is>
          <t>Telekom</t>
        </is>
      </c>
      <c r="C25" s="10" t="inlineStr">
        <is>
          <t>Abdulaziz Al-Babtain</t>
        </is>
      </c>
      <c r="D25" s="10" t="inlineStr">
        <is>
          <t>CEO</t>
        </is>
      </c>
      <c r="E25" s="10" t="inlineStr">
        <is>
          <t>Ooredoo Kuwait</t>
        </is>
      </c>
      <c r="F25" s="10" t="inlineStr">
        <is>
          <t>Kuveyt (Kuveyt City)</t>
        </is>
      </c>
      <c r="G25" s="10" t="inlineStr">
        <is>
          <t>İçeriden yükselen (ex-CBO), public telekom yöneticisi</t>
        </is>
      </c>
      <c r="H25" s="10" t="inlineStr">
        <is>
          <t>Boursa Kuwait-listeli büyük telekomun yerel CEO'su</t>
        </is>
      </c>
      <c r="I25" s="11">
        <f>HYPERLINK("https://www.linkedin.com/search/results/people/?keywords=Abdulaziz%20Al-Babtain%20Ooredoo%20Kuwait","LinkedIn'de bul")</f>
        <v/>
      </c>
      <c r="J25" s="11">
        <f>HYPERLINK("https://www.ooredoo.com.kw","ooredoo.com.kw")</f>
        <v/>
      </c>
      <c r="K25" s="10" t="inlineStr"/>
      <c r="L25" s="10" t="inlineStr"/>
      <c r="M25" s="11">
        <f>IF($L25="","", HYPERLINK("https://wa.me/"&amp;SUBSTITUTE(SUBSTITUTE(SUBSTITUTE($L25,"+",""),"-","")," ",""),"WhatsApp'ta Aç"))</f>
        <v/>
      </c>
      <c r="N25" s="10" t="inlineStr">
        <is>
          <t>LinkedIn'de bağlan + kısa not; iş maili için şirket deseni/scrape. Profesyonel, randevuya açık.</t>
        </is>
      </c>
      <c r="O25" s="10" t="inlineStr">
        <is>
          <t>Ağu 2020'den beri CEO.</t>
        </is>
      </c>
      <c r="P25" s="11">
        <f>HYPERLINK("https://www.ooredoo.com/en/media/news_view/ooredoo-appoints-new-chief-executive-officer-for-ooredoo-kuwait/","Kaynak")</f>
        <v/>
      </c>
    </row>
    <row r="26" ht="52" customHeight="1">
      <c r="A26" s="8" t="n">
        <v>24</v>
      </c>
      <c r="B26" s="10" t="inlineStr">
        <is>
          <t>Sermaye piyasası</t>
        </is>
      </c>
      <c r="C26" s="10" t="inlineStr">
        <is>
          <t>Mohammad Al-Osaimi</t>
        </is>
      </c>
      <c r="D26" s="10" t="inlineStr">
        <is>
          <t>CEO</t>
        </is>
      </c>
      <c r="E26" s="10" t="inlineStr">
        <is>
          <t>Boursa Kuwait</t>
        </is>
      </c>
      <c r="F26" s="10" t="inlineStr">
        <is>
          <t>Kuveyt (Kuveyt City)</t>
        </is>
      </c>
      <c r="G26" s="10" t="inlineStr">
        <is>
          <t>Sık röportaj (OBG, TBY), ABD eğitimli (Carnegie Mellon)</t>
        </is>
      </c>
      <c r="H26" s="10" t="inlineStr">
        <is>
          <t>Kuveyt ulusal borsasının CEO'su</t>
        </is>
      </c>
      <c r="I26" s="11">
        <f>HYPERLINK("https://www.linkedin.com/search/results/people/?keywords=Mohammad%20Al-Osaimi%20Boursa%20Kuwait","LinkedIn'de bul")</f>
        <v/>
      </c>
      <c r="J26" s="11">
        <f>HYPERLINK("https://www.boursakuwait.com.kw","boursakuwait.com.kw")</f>
        <v/>
      </c>
      <c r="K26" s="10" t="inlineStr"/>
      <c r="L26" s="10" t="inlineStr"/>
      <c r="M26" s="11">
        <f>IF($L26="","", HYPERLINK("https://wa.me/"&amp;SUBSTITUTE(SUBSTITUTE(SUBSTITUTE($L26,"+",""),"-","")," ",""),"WhatsApp'ta Aç"))</f>
        <v/>
      </c>
      <c r="N26" s="10" t="inlineStr">
        <is>
          <t>LinkedIn'de bağlan + kısa not; iş maili için şirket deseni/scrape. Profesyonel, randevuya açık.</t>
        </is>
      </c>
      <c r="O26" s="10" t="inlineStr">
        <is>
          <t>2025 sonuçlarında aktif CEO.</t>
        </is>
      </c>
      <c r="P26" s="11">
        <f>HYPERLINK("https://www.boursakuwait.com.kw/en/executive-team/mohammad-alosaimi/","Kaynak")</f>
        <v/>
      </c>
    </row>
    <row r="27" ht="52" customHeight="1">
      <c r="A27" s="8" t="n">
        <v>25</v>
      </c>
      <c r="B27" s="10" t="inlineStr">
        <is>
          <t>Bankacılık</t>
        </is>
      </c>
      <c r="C27" s="10" t="inlineStr">
        <is>
          <t>Nadir Al-Koraya</t>
        </is>
      </c>
      <c r="D27" s="10" t="inlineStr">
        <is>
          <t>CEO</t>
        </is>
      </c>
      <c r="E27" s="10" t="inlineStr">
        <is>
          <t>Riyad Bank</t>
        </is>
      </c>
      <c r="F27" s="10" t="inlineStr">
        <is>
          <t>Suudi Arabistan (Riyad)</t>
        </is>
      </c>
      <c r="G27" s="10" t="inlineStr">
        <is>
          <t>İçeriden yükselen (ex-Treasury), kazanç sözcüsü</t>
        </is>
      </c>
      <c r="H27" s="10" t="inlineStr">
        <is>
          <t>Suudi'nin 3. en büyük bankasının (&gt;$130mlr varlık, Tadawul) CEO'su</t>
        </is>
      </c>
      <c r="I27" s="11">
        <f>HYPERLINK("https://www.linkedin.com/search/results/people/?keywords=Nadir%20Al-Koraya%20Riyad%20Bank","LinkedIn'de bul")</f>
        <v/>
      </c>
      <c r="J27" s="11">
        <f>HYPERLINK("https://www.riyadbank.com","riyadbank.com")</f>
        <v/>
      </c>
      <c r="K27" s="10" t="inlineStr"/>
      <c r="L27" s="10" t="inlineStr"/>
      <c r="M27" s="11">
        <f>IF($L27="","", HYPERLINK("https://wa.me/"&amp;SUBSTITUTE(SUBSTITUTE(SUBSTITUTE($L27,"+",""),"-","")," ",""),"WhatsApp'ta Aç"))</f>
        <v/>
      </c>
      <c r="N27" s="10" t="inlineStr">
        <is>
          <t>LinkedIn'de bağlan + kısa not; iş maili için şirket deseni/scrape. Profesyonel, randevuya açık.</t>
        </is>
      </c>
      <c r="O27" s="10" t="inlineStr">
        <is>
          <t>2024'ten beri CEO.</t>
        </is>
      </c>
      <c r="P27" s="11">
        <f>HYPERLINK("https://www.riyadbank.com/investor-relations/executive-management/nadir-s-al-koraya","Kaynak")</f>
        <v/>
      </c>
    </row>
  </sheetData>
  <mergeCells count="1">
    <mergeCell ref="A1:P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4" customWidth="1" min="3" max="3"/>
    <col width="22" customWidth="1" min="4" max="4"/>
    <col width="26" customWidth="1" min="5" max="5"/>
    <col width="15" customWidth="1" min="6" max="6"/>
    <col width="20" customWidth="1" min="7" max="7"/>
    <col width="15" customWidth="1" min="8" max="8"/>
    <col width="18" customWidth="1" min="9" max="9"/>
    <col width="20" customWidth="1" min="10" max="10"/>
    <col width="9" customWidth="1" min="11" max="11"/>
  </cols>
  <sheetData>
    <row r="1" ht="30" customHeight="1">
      <c r="A1" s="6" t="inlineStr">
        <is>
          <t>GENİŞ LİSTE — 202 kişi: GCC borsalarındaki büyük şirketlerin Başkan/CEO/CFO'ları (public kurul &amp; IR sayfaları). CEO/CFO = yüksek yanıt; royal başkanlar = düşük yanıt. Toplu lead; ilk mesaj öncesi unvanı 'Kaynak'tan teyit et.</t>
        </is>
      </c>
    </row>
    <row r="2" ht="30" customHeight="1">
      <c r="A2" s="7" t="inlineStr">
        <is>
          <t>No</t>
        </is>
      </c>
      <c r="B2" s="7" t="inlineStr">
        <is>
          <t>Sektör</t>
        </is>
      </c>
      <c r="C2" s="7" t="inlineStr">
        <is>
          <t>İsim</t>
        </is>
      </c>
      <c r="D2" s="7" t="inlineStr">
        <is>
          <t>Rol</t>
        </is>
      </c>
      <c r="E2" s="7" t="inlineStr">
        <is>
          <t>Şirket</t>
        </is>
      </c>
      <c r="F2" s="7" t="inlineStr">
        <is>
          <t>Ülke</t>
        </is>
      </c>
      <c r="G2" s="7" t="inlineStr">
        <is>
          <t>Yanıt Olasılığı</t>
        </is>
      </c>
      <c r="H2" s="7" t="inlineStr">
        <is>
          <t>LinkedIn</t>
        </is>
      </c>
      <c r="I2" s="7" t="inlineStr">
        <is>
          <t>Şirket Web</t>
        </is>
      </c>
      <c r="J2" s="7" t="inlineStr">
        <is>
          <t>İş E-postası (scrape)</t>
        </is>
      </c>
      <c r="K2" s="7" t="inlineStr">
        <is>
          <t>Kaynak</t>
        </is>
      </c>
    </row>
    <row r="3" ht="30" customHeight="1">
      <c r="A3" s="8" t="n">
        <v>1</v>
      </c>
      <c r="B3" s="10" t="inlineStr">
        <is>
          <t>Banking</t>
        </is>
      </c>
      <c r="C3" s="10" t="inlineStr">
        <is>
          <t>Abdullah bin Sulaiman Al Rajhi</t>
        </is>
      </c>
      <c r="D3" s="10" t="inlineStr">
        <is>
          <t>Chairman</t>
        </is>
      </c>
      <c r="E3" s="10" t="inlineStr">
        <is>
          <t>Al Rajhi Bank</t>
        </is>
      </c>
      <c r="F3" s="10" t="inlineStr">
        <is>
          <t>Suudi Arabistan</t>
        </is>
      </c>
      <c r="G3" s="8" t="inlineStr">
        <is>
          <t>Orta (başkan)</t>
        </is>
      </c>
      <c r="H3" s="11">
        <f>HYPERLINK("https://www.linkedin.com/search/results/people/?keywords=Abdullah%20Al%20Rajhi%20Al%20Rajhi%20Bank","LinkedIn'de bul")</f>
        <v/>
      </c>
      <c r="I3" s="11">
        <f>HYPERLINK("https://www.alrajhibank.com.sa","alrajhibank.com.sa")</f>
        <v/>
      </c>
      <c r="J3" s="10" t="inlineStr"/>
      <c r="K3" s="11">
        <f>HYPERLINK("https://www.alrajhibank.com.sa/en/About-alrajhi-bank/Board-Members","Kaynak")</f>
        <v/>
      </c>
    </row>
    <row r="4" ht="30" customHeight="1">
      <c r="A4" s="8" t="n">
        <v>2</v>
      </c>
      <c r="B4" s="10" t="inlineStr">
        <is>
          <t>Banking</t>
        </is>
      </c>
      <c r="C4" s="10" t="inlineStr">
        <is>
          <t>Waleed Abdullah Al-Mogbel</t>
        </is>
      </c>
      <c r="D4" s="10" t="inlineStr">
        <is>
          <t>Managing Director and CEO</t>
        </is>
      </c>
      <c r="E4" s="10" t="inlineStr">
        <is>
          <t>Al Rajhi Bank</t>
        </is>
      </c>
      <c r="F4" s="10" t="inlineStr">
        <is>
          <t>Suudi Arabistan</t>
        </is>
      </c>
      <c r="G4" s="15" t="inlineStr">
        <is>
          <t>Yüksek (profesyonel)</t>
        </is>
      </c>
      <c r="H4" s="11">
        <f>HYPERLINK("https://www.linkedin.com/search/results/people/?keywords=Waleed%20Al-Mogbel%20Al%20Rajhi%20Bank","LinkedIn'de bul")</f>
        <v/>
      </c>
      <c r="I4" s="11">
        <f>HYPERLINK("https://www.alrajhibank.com.sa","alrajhibank.com.sa")</f>
        <v/>
      </c>
      <c r="J4" s="10" t="inlineStr"/>
      <c r="K4" s="11">
        <f>HYPERLINK("https://www.alrajhibank.com.sa/en/About-alrajhi-bank/Executive-Management","Kaynak")</f>
        <v/>
      </c>
    </row>
    <row r="5" ht="30" customHeight="1">
      <c r="A5" s="8" t="n">
        <v>3</v>
      </c>
      <c r="B5" s="10" t="inlineStr">
        <is>
          <t>Banking</t>
        </is>
      </c>
      <c r="C5" s="10" t="inlineStr">
        <is>
          <t>Abdulrahman Abdullah Al-Fadda</t>
        </is>
      </c>
      <c r="D5" s="10" t="inlineStr">
        <is>
          <t>CFO</t>
        </is>
      </c>
      <c r="E5" s="10" t="inlineStr">
        <is>
          <t>Al Rajhi Bank</t>
        </is>
      </c>
      <c r="F5" s="10" t="inlineStr">
        <is>
          <t>Suudi Arabistan</t>
        </is>
      </c>
      <c r="G5" s="15" t="inlineStr">
        <is>
          <t>Yüksek (profesyonel)</t>
        </is>
      </c>
      <c r="H5" s="11">
        <f>HYPERLINK("https://www.linkedin.com/search/results/people/?keywords=Abdulrahman%20Al-Fadda%20Al%20Rajhi%20Bank","LinkedIn'de bul")</f>
        <v/>
      </c>
      <c r="I5" s="11">
        <f>HYPERLINK("https://www.alrajhibank.com.sa","alrajhibank.com.sa")</f>
        <v/>
      </c>
      <c r="J5" s="10" t="inlineStr"/>
      <c r="K5" s="11">
        <f>HYPERLINK("https://www.alrajhibank.com.sa/en/About-alrajhi-bank/Executive-Management","Kaynak")</f>
        <v/>
      </c>
    </row>
    <row r="6" ht="30" customHeight="1">
      <c r="A6" s="8" t="n">
        <v>4</v>
      </c>
      <c r="B6" s="10" t="inlineStr">
        <is>
          <t>Banking</t>
        </is>
      </c>
      <c r="C6" s="10" t="inlineStr">
        <is>
          <t>Saeed Mohammed Al-Ghamdi</t>
        </is>
      </c>
      <c r="D6" s="10" t="inlineStr">
        <is>
          <t>Chairman</t>
        </is>
      </c>
      <c r="E6" s="10" t="inlineStr">
        <is>
          <t>Saudi National Bank (SNB)</t>
        </is>
      </c>
      <c r="F6" s="10" t="inlineStr">
        <is>
          <t>Suudi Arabistan</t>
        </is>
      </c>
      <c r="G6" s="8" t="inlineStr">
        <is>
          <t>Orta (başkan)</t>
        </is>
      </c>
      <c r="H6" s="11">
        <f>HYPERLINK("https://www.linkedin.com/search/results/people/?keywords=Saeed%20Al-Ghamdi%20Saudi%20National%20Bank","LinkedIn'de bul")</f>
        <v/>
      </c>
      <c r="I6" s="11">
        <f>HYPERLINK("https://www.alahli.com","alahli.com")</f>
        <v/>
      </c>
      <c r="J6" s="10" t="inlineStr"/>
      <c r="K6" s="11">
        <f>HYPERLINK("https://en.wikipedia.org/wiki/Saudi_National_Bank","Kaynak")</f>
        <v/>
      </c>
    </row>
    <row r="7" ht="30" customHeight="1">
      <c r="A7" s="8" t="n">
        <v>5</v>
      </c>
      <c r="B7" s="10" t="inlineStr">
        <is>
          <t>Banking</t>
        </is>
      </c>
      <c r="C7" s="10" t="inlineStr">
        <is>
          <t>Tareq Abdulrahman Al Sadhan</t>
        </is>
      </c>
      <c r="D7" s="10" t="inlineStr">
        <is>
          <t>CEO</t>
        </is>
      </c>
      <c r="E7" s="10" t="inlineStr">
        <is>
          <t>Saudi National Bank (SNB)</t>
        </is>
      </c>
      <c r="F7" s="10" t="inlineStr">
        <is>
          <t>Suudi Arabistan</t>
        </is>
      </c>
      <c r="G7" s="15" t="inlineStr">
        <is>
          <t>Yüksek (profesyonel)</t>
        </is>
      </c>
      <c r="H7" s="11">
        <f>HYPERLINK("https://www.linkedin.com/search/results/people/?keywords=Tareq%20Al%20Sadhan%20Saudi%20National%20Bank","LinkedIn'de bul")</f>
        <v/>
      </c>
      <c r="I7" s="11">
        <f>HYPERLINK("https://www.alahli.com","alahli.com")</f>
        <v/>
      </c>
      <c r="J7" s="10" t="inlineStr"/>
      <c r="K7" s="11">
        <f>HYPERLINK("https://www.alahli.com/en/news/resignation-of-the-acting-ceo-and-appointment-of-the-ceo","Kaynak")</f>
        <v/>
      </c>
    </row>
    <row r="8" ht="30" customHeight="1">
      <c r="A8" s="8" t="n">
        <v>6</v>
      </c>
      <c r="B8" s="10" t="inlineStr">
        <is>
          <t>Banking</t>
        </is>
      </c>
      <c r="C8" s="10" t="inlineStr">
        <is>
          <t>Ahmad Ali Al Dhabi</t>
        </is>
      </c>
      <c r="D8" s="10" t="inlineStr">
        <is>
          <t>Group CFO</t>
        </is>
      </c>
      <c r="E8" s="10" t="inlineStr">
        <is>
          <t>Saudi National Bank (SNB)</t>
        </is>
      </c>
      <c r="F8" s="10" t="inlineStr">
        <is>
          <t>Suudi Arabistan</t>
        </is>
      </c>
      <c r="G8" s="15" t="inlineStr">
        <is>
          <t>Yüksek (profesyonel)</t>
        </is>
      </c>
      <c r="H8" s="11">
        <f>HYPERLINK("https://www.linkedin.com/search/results/people/?keywords=Ahmad%20Al%20Dhabi%20Saudi%20National%20Bank","LinkedIn'de bul")</f>
        <v/>
      </c>
      <c r="I8" s="11">
        <f>HYPERLINK("https://www.alahli.com","alahli.com")</f>
        <v/>
      </c>
      <c r="J8" s="10" t="inlineStr"/>
      <c r="K8" s="11">
        <f>HYPERLINK("https://en.wikipedia.org/wiki/Saudi_National_Bank","Kaynak")</f>
        <v/>
      </c>
    </row>
    <row r="9" ht="30" customHeight="1">
      <c r="A9" s="8" t="n">
        <v>7</v>
      </c>
      <c r="B9" s="10" t="inlineStr">
        <is>
          <t>Banking</t>
        </is>
      </c>
      <c r="C9" s="10" t="inlineStr">
        <is>
          <t>Abdullah Mohammed Al-Issa</t>
        </is>
      </c>
      <c r="D9" s="10" t="inlineStr">
        <is>
          <t>Chairman</t>
        </is>
      </c>
      <c r="E9" s="10" t="inlineStr">
        <is>
          <t>Riyad Bank</t>
        </is>
      </c>
      <c r="F9" s="10" t="inlineStr">
        <is>
          <t>Suudi Arabistan</t>
        </is>
      </c>
      <c r="G9" s="8" t="inlineStr">
        <is>
          <t>Orta (başkan)</t>
        </is>
      </c>
      <c r="H9" s="11">
        <f>HYPERLINK("https://www.linkedin.com/search/results/people/?keywords=Abdullah%20Al-Issa%20Riyad%20Bank","LinkedIn'de bul")</f>
        <v/>
      </c>
      <c r="I9" s="11">
        <f>HYPERLINK("https://www.riyadbank.com","riyadbank.com")</f>
        <v/>
      </c>
      <c r="J9" s="10" t="inlineStr"/>
      <c r="K9" s="11">
        <f>HYPERLINK("https://www.riyadbank.com/personal-banking/about-us/board-of-directors","Kaynak")</f>
        <v/>
      </c>
    </row>
    <row r="10" ht="30" customHeight="1">
      <c r="A10" s="8" t="n">
        <v>8</v>
      </c>
      <c r="B10" s="10" t="inlineStr">
        <is>
          <t>Banking</t>
        </is>
      </c>
      <c r="C10" s="10" t="inlineStr">
        <is>
          <t>Nadir Sami Al-Koraya</t>
        </is>
      </c>
      <c r="D10" s="10" t="inlineStr">
        <is>
          <t>CEO</t>
        </is>
      </c>
      <c r="E10" s="10" t="inlineStr">
        <is>
          <t>Riyad Bank</t>
        </is>
      </c>
      <c r="F10" s="10" t="inlineStr">
        <is>
          <t>Suudi Arabistan</t>
        </is>
      </c>
      <c r="G10" s="15" t="inlineStr">
        <is>
          <t>Yüksek (profesyonel)</t>
        </is>
      </c>
      <c r="H10" s="11">
        <f>HYPERLINK("https://www.linkedin.com/search/results/people/?keywords=Nadir%20Al-Koraya%20Riyad%20Bank","LinkedIn'de bul")</f>
        <v/>
      </c>
      <c r="I10" s="11">
        <f>HYPERLINK("https://www.riyadbank.com","riyadbank.com")</f>
        <v/>
      </c>
      <c r="J10" s="10" t="inlineStr"/>
      <c r="K10" s="11">
        <f>HYPERLINK("https://www.riyadbank.com/personal-banking/about-us/executive-management","Kaynak")</f>
        <v/>
      </c>
    </row>
    <row r="11" ht="30" customHeight="1">
      <c r="A11" s="8" t="n">
        <v>9</v>
      </c>
      <c r="B11" s="10" t="inlineStr">
        <is>
          <t>Banking</t>
        </is>
      </c>
      <c r="C11" s="10" t="inlineStr">
        <is>
          <t>Abdullah Ali Al-Oraini</t>
        </is>
      </c>
      <c r="D11" s="10" t="inlineStr">
        <is>
          <t>CFO</t>
        </is>
      </c>
      <c r="E11" s="10" t="inlineStr">
        <is>
          <t>Riyad Bank</t>
        </is>
      </c>
      <c r="F11" s="10" t="inlineStr">
        <is>
          <t>Suudi Arabistan</t>
        </is>
      </c>
      <c r="G11" s="15" t="inlineStr">
        <is>
          <t>Yüksek (profesyonel)</t>
        </is>
      </c>
      <c r="H11" s="11">
        <f>HYPERLINK("https://www.linkedin.com/search/results/people/?keywords=Abdullah%20Al-Oraini%20Riyad%20Bank","LinkedIn'de bul")</f>
        <v/>
      </c>
      <c r="I11" s="11">
        <f>HYPERLINK("https://www.riyadbank.com","riyadbank.com")</f>
        <v/>
      </c>
      <c r="J11" s="10" t="inlineStr"/>
      <c r="K11" s="11">
        <f>HYPERLINK("https://www.riyadbank.com/personal-banking/about-us/executive-management","Kaynak")</f>
        <v/>
      </c>
    </row>
    <row r="12" ht="30" customHeight="1">
      <c r="A12" s="8" t="n">
        <v>10</v>
      </c>
      <c r="B12" s="10" t="inlineStr">
        <is>
          <t>Banking</t>
        </is>
      </c>
      <c r="C12" s="10" t="inlineStr">
        <is>
          <t>Abdulmalek bin Abdullah Al-Hogail</t>
        </is>
      </c>
      <c r="D12" s="10" t="inlineStr">
        <is>
          <t>Chairman</t>
        </is>
      </c>
      <c r="E12" s="10" t="inlineStr">
        <is>
          <t>Alinma Bank</t>
        </is>
      </c>
      <c r="F12" s="10" t="inlineStr">
        <is>
          <t>Suudi Arabistan</t>
        </is>
      </c>
      <c r="G12" s="8" t="inlineStr">
        <is>
          <t>Orta (başkan)</t>
        </is>
      </c>
      <c r="H12" s="11">
        <f>HYPERLINK("https://www.linkedin.com/search/results/people/?keywords=Abdulmalek%20Al-Hogail%20Alinma%20Bank","LinkedIn'de bul")</f>
        <v/>
      </c>
      <c r="I12" s="11">
        <f>HYPERLINK("https://www.alinma.com","alinma.com")</f>
        <v/>
      </c>
      <c r="J12" s="10" t="inlineStr"/>
      <c r="K12" s="11">
        <f>HYPERLINK("https://ir.alinma.com/en/investor-relations/about-us/corporate-governance/board-of-directors/","Kaynak")</f>
        <v/>
      </c>
    </row>
    <row r="13" ht="30" customHeight="1">
      <c r="A13" s="8" t="n">
        <v>11</v>
      </c>
      <c r="B13" s="10" t="inlineStr">
        <is>
          <t>Banking</t>
        </is>
      </c>
      <c r="C13" s="10" t="inlineStr">
        <is>
          <t>Abdullah Ali Al Khalifa</t>
        </is>
      </c>
      <c r="D13" s="10" t="inlineStr">
        <is>
          <t>Managing Director and CEO</t>
        </is>
      </c>
      <c r="E13" s="10" t="inlineStr">
        <is>
          <t>Alinma Bank</t>
        </is>
      </c>
      <c r="F13" s="10" t="inlineStr">
        <is>
          <t>Suudi Arabistan</t>
        </is>
      </c>
      <c r="G13" s="15" t="inlineStr">
        <is>
          <t>Yüksek (profesyonel)</t>
        </is>
      </c>
      <c r="H13" s="11">
        <f>HYPERLINK("https://www.linkedin.com/search/results/people/?keywords=Abdullah%20Al%20Khalifa%20Alinma%20Bank","LinkedIn'de bul")</f>
        <v/>
      </c>
      <c r="I13" s="11">
        <f>HYPERLINK("https://www.alinma.com","alinma.com")</f>
        <v/>
      </c>
      <c r="J13" s="10" t="inlineStr"/>
      <c r="K13" s="11">
        <f>HYPERLINK("https://www.alinma.com/en/About-the-Bank/The-Bank/News/2025/6/Board-of-Directors-and-CEO","Kaynak")</f>
        <v/>
      </c>
    </row>
    <row r="14" ht="30" customHeight="1">
      <c r="A14" s="8" t="n">
        <v>12</v>
      </c>
      <c r="B14" s="10" t="inlineStr">
        <is>
          <t>Banking</t>
        </is>
      </c>
      <c r="C14" s="10" t="inlineStr">
        <is>
          <t>Adel Saleh Abalkhail</t>
        </is>
      </c>
      <c r="D14" s="10" t="inlineStr">
        <is>
          <t>CFO</t>
        </is>
      </c>
      <c r="E14" s="10" t="inlineStr">
        <is>
          <t>Alinma Bank</t>
        </is>
      </c>
      <c r="F14" s="10" t="inlineStr">
        <is>
          <t>Suudi Arabistan</t>
        </is>
      </c>
      <c r="G14" s="15" t="inlineStr">
        <is>
          <t>Yüksek (profesyonel)</t>
        </is>
      </c>
      <c r="H14" s="11">
        <f>HYPERLINK("https://www.linkedin.com/search/results/people/?keywords=Adel%20Abalkhail%20Alinma%20Bank","LinkedIn'de bul")</f>
        <v/>
      </c>
      <c r="I14" s="11">
        <f>HYPERLINK("https://www.alinma.com","alinma.com")</f>
        <v/>
      </c>
      <c r="J14" s="10" t="inlineStr"/>
      <c r="K14" s="11">
        <f>HYPERLINK("https://ir.alinma.com/en/investor-relations/about-us/corporate-governance/executive-management/","Kaynak")</f>
        <v/>
      </c>
    </row>
    <row r="15" ht="30" customHeight="1">
      <c r="A15" s="8" t="n">
        <v>13</v>
      </c>
      <c r="B15" s="10" t="inlineStr">
        <is>
          <t>Banking</t>
        </is>
      </c>
      <c r="C15" s="10" t="inlineStr">
        <is>
          <t>Lubna Suliman Al Olayan</t>
        </is>
      </c>
      <c r="D15" s="10" t="inlineStr">
        <is>
          <t>Chair of the Board</t>
        </is>
      </c>
      <c r="E15" s="10" t="inlineStr">
        <is>
          <t>Saudi Awwal Bank (SABB)</t>
        </is>
      </c>
      <c r="F15" s="10" t="inlineStr">
        <is>
          <t>Suudi Arabistan</t>
        </is>
      </c>
      <c r="G15" s="8" t="inlineStr">
        <is>
          <t>Orta (başkan)</t>
        </is>
      </c>
      <c r="H15" s="11">
        <f>HYPERLINK("https://www.linkedin.com/search/results/people/?keywords=Lubna%20Al%20Olayan%20Saudi%20Awwal%20Bank","LinkedIn'de bul")</f>
        <v/>
      </c>
      <c r="I15" s="11">
        <f>HYPERLINK("https://www.sab.com","sab.com")</f>
        <v/>
      </c>
      <c r="J15" s="10" t="inlineStr"/>
      <c r="K15" s="11">
        <f>HYPERLINK("https://www.sab.com/en/about-us/about-us/board-of-directors/","Kaynak")</f>
        <v/>
      </c>
    </row>
    <row r="16" ht="30" customHeight="1">
      <c r="A16" s="8" t="n">
        <v>14</v>
      </c>
      <c r="B16" s="10" t="inlineStr">
        <is>
          <t>Banking</t>
        </is>
      </c>
      <c r="C16" s="10" t="inlineStr">
        <is>
          <t>Tony Cripps</t>
        </is>
      </c>
      <c r="D16" s="10" t="inlineStr">
        <is>
          <t>Managing Director and CEO</t>
        </is>
      </c>
      <c r="E16" s="10" t="inlineStr">
        <is>
          <t>Saudi Awwal Bank (SABB)</t>
        </is>
      </c>
      <c r="F16" s="10" t="inlineStr">
        <is>
          <t>Suudi Arabistan</t>
        </is>
      </c>
      <c r="G16" s="15" t="inlineStr">
        <is>
          <t>Yüksek (profesyonel)</t>
        </is>
      </c>
      <c r="H16" s="11">
        <f>HYPERLINK("https://www.linkedin.com/search/results/people/?keywords=Tony%20Cripps%20Saudi%20Awwal%20Bank","LinkedIn'de bul")</f>
        <v/>
      </c>
      <c r="I16" s="11">
        <f>HYPERLINK("https://www.sab.com","sab.com")</f>
        <v/>
      </c>
      <c r="J16" s="10" t="inlineStr"/>
      <c r="K16" s="11">
        <f>HYPERLINK("https://www.sab.com/en/about-us/about-us/executive-top-management/","Kaynak")</f>
        <v/>
      </c>
    </row>
    <row r="17" ht="30" customHeight="1">
      <c r="A17" s="8" t="n">
        <v>15</v>
      </c>
      <c r="B17" s="10" t="inlineStr">
        <is>
          <t>Banking</t>
        </is>
      </c>
      <c r="C17" s="10" t="inlineStr">
        <is>
          <t>Lama Ghazzaoui</t>
        </is>
      </c>
      <c r="D17" s="10" t="inlineStr">
        <is>
          <t>CFO</t>
        </is>
      </c>
      <c r="E17" s="10" t="inlineStr">
        <is>
          <t>Saudi Awwal Bank (SABB)</t>
        </is>
      </c>
      <c r="F17" s="10" t="inlineStr">
        <is>
          <t>Suudi Arabistan</t>
        </is>
      </c>
      <c r="G17" s="15" t="inlineStr">
        <is>
          <t>Yüksek (profesyonel)</t>
        </is>
      </c>
      <c r="H17" s="11">
        <f>HYPERLINK("https://www.linkedin.com/search/results/people/?keywords=Lama%20Ghazzaoui%20Saudi%20Awwal%20Bank","LinkedIn'de bul")</f>
        <v/>
      </c>
      <c r="I17" s="11">
        <f>HYPERLINK("https://www.sab.com","sab.com")</f>
        <v/>
      </c>
      <c r="J17" s="10" t="inlineStr"/>
      <c r="K17" s="11">
        <f>HYPERLINK("https://www.sab.com/en/about-us/about-us/executive-top-management/","Kaynak")</f>
        <v/>
      </c>
    </row>
    <row r="18" ht="30" customHeight="1">
      <c r="A18" s="8" t="n">
        <v>16</v>
      </c>
      <c r="B18" s="10" t="inlineStr">
        <is>
          <t>Banking</t>
        </is>
      </c>
      <c r="C18" s="10" t="inlineStr">
        <is>
          <t>Mazin Abdulrazzak AlRomaih</t>
        </is>
      </c>
      <c r="D18" s="10" t="inlineStr">
        <is>
          <t>Chairman</t>
        </is>
      </c>
      <c r="E18" s="10" t="inlineStr">
        <is>
          <t>Banque Saudi Fransi</t>
        </is>
      </c>
      <c r="F18" s="10" t="inlineStr">
        <is>
          <t>Suudi Arabistan</t>
        </is>
      </c>
      <c r="G18" s="8" t="inlineStr">
        <is>
          <t>Orta (başkan)</t>
        </is>
      </c>
      <c r="H18" s="11">
        <f>HYPERLINK("https://www.linkedin.com/search/results/people/?keywords=Mazin%20AlRomaih%20Banque%20Saudi%20Fransi","LinkedIn'de bul")</f>
        <v/>
      </c>
      <c r="I18" s="11">
        <f>HYPERLINK("https://bsf.sa","bsf.sa")</f>
        <v/>
      </c>
      <c r="J18" s="10" t="inlineStr"/>
      <c r="K18" s="11">
        <f>HYPERLINK("https://bsf.sa/english/the-bank/boardofdirectors","Kaynak")</f>
        <v/>
      </c>
    </row>
    <row r="19" ht="30" customHeight="1">
      <c r="A19" s="8" t="n">
        <v>17</v>
      </c>
      <c r="B19" s="10" t="inlineStr">
        <is>
          <t>Banking</t>
        </is>
      </c>
      <c r="C19" s="10" t="inlineStr">
        <is>
          <t>Bader Hamad Al-Salloom</t>
        </is>
      </c>
      <c r="D19" s="10" t="inlineStr">
        <is>
          <t>CEO</t>
        </is>
      </c>
      <c r="E19" s="10" t="inlineStr">
        <is>
          <t>Banque Saudi Fransi</t>
        </is>
      </c>
      <c r="F19" s="10" t="inlineStr">
        <is>
          <t>Suudi Arabistan</t>
        </is>
      </c>
      <c r="G19" s="15" t="inlineStr">
        <is>
          <t>Yüksek (profesyonel)</t>
        </is>
      </c>
      <c r="H19" s="11">
        <f>HYPERLINK("https://www.linkedin.com/search/results/people/?keywords=Bader%20Al-Salloom%20Banque%20Saudi%20Fransi","LinkedIn'de bul")</f>
        <v/>
      </c>
      <c r="I19" s="11">
        <f>HYPERLINK("https://bsf.sa","bsf.sa")</f>
        <v/>
      </c>
      <c r="J19" s="10" t="inlineStr"/>
      <c r="K19" s="11">
        <f>HYPERLINK("https://bsf.sa/english/the-bank/managament-team","Kaynak")</f>
        <v/>
      </c>
    </row>
    <row r="20" ht="30" customHeight="1">
      <c r="A20" s="8" t="n">
        <v>18</v>
      </c>
      <c r="B20" s="10" t="inlineStr">
        <is>
          <t>Banking</t>
        </is>
      </c>
      <c r="C20" s="10" t="inlineStr">
        <is>
          <t>Ramzy Darwish</t>
        </is>
      </c>
      <c r="D20" s="10" t="inlineStr">
        <is>
          <t>CFO</t>
        </is>
      </c>
      <c r="E20" s="10" t="inlineStr">
        <is>
          <t>Banque Saudi Fransi</t>
        </is>
      </c>
      <c r="F20" s="10" t="inlineStr">
        <is>
          <t>Suudi Arabistan</t>
        </is>
      </c>
      <c r="G20" s="15" t="inlineStr">
        <is>
          <t>Yüksek (profesyonel)</t>
        </is>
      </c>
      <c r="H20" s="11">
        <f>HYPERLINK("https://www.linkedin.com/search/results/people/?keywords=Ramzy%20Darwish%20Banque%20Saudi%20Fransi","LinkedIn'de bul")</f>
        <v/>
      </c>
      <c r="I20" s="11">
        <f>HYPERLINK("https://bsf.sa","bsf.sa")</f>
        <v/>
      </c>
      <c r="J20" s="10" t="inlineStr"/>
      <c r="K20" s="11">
        <f>HYPERLINK("https://bsf.sa/english/the-bank/managament-team","Kaynak")</f>
        <v/>
      </c>
    </row>
    <row r="21" ht="30" customHeight="1">
      <c r="A21" s="8" t="n">
        <v>19</v>
      </c>
      <c r="B21" s="10" t="inlineStr">
        <is>
          <t>Banking</t>
        </is>
      </c>
      <c r="C21" s="10" t="inlineStr">
        <is>
          <t>Obaid Abdullah Al-Rasheed</t>
        </is>
      </c>
      <c r="D21" s="10" t="inlineStr">
        <is>
          <t>CEO and Managing Director</t>
        </is>
      </c>
      <c r="E21" s="10" t="inlineStr">
        <is>
          <t>Arab National Bank</t>
        </is>
      </c>
      <c r="F21" s="10" t="inlineStr">
        <is>
          <t>Suudi Arabistan</t>
        </is>
      </c>
      <c r="G21" s="15" t="inlineStr">
        <is>
          <t>Yüksek (profesyonel)</t>
        </is>
      </c>
      <c r="H21" s="11">
        <f>HYPERLINK("https://www.linkedin.com/search/results/people/?keywords=Obaid%20Al-Rasheed%20Arab%20National%20Bank","LinkedIn'de bul")</f>
        <v/>
      </c>
      <c r="I21" s="11">
        <f>HYPERLINK("https://anb.com.sa","anb.com.sa")</f>
        <v/>
      </c>
      <c r="J21" s="10" t="inlineStr"/>
      <c r="K21" s="11">
        <f>HYPERLINK("https://anb.com.sa/web/anb/executive-management","Kaynak")</f>
        <v/>
      </c>
    </row>
    <row r="22" ht="30" customHeight="1">
      <c r="A22" s="8" t="n">
        <v>20</v>
      </c>
      <c r="B22" s="10" t="inlineStr">
        <is>
          <t>Banking</t>
        </is>
      </c>
      <c r="C22" s="10" t="inlineStr">
        <is>
          <t>Saad Al-Dugaish</t>
        </is>
      </c>
      <c r="D22" s="10" t="inlineStr">
        <is>
          <t>CFO</t>
        </is>
      </c>
      <c r="E22" s="10" t="inlineStr">
        <is>
          <t>Arab National Bank</t>
        </is>
      </c>
      <c r="F22" s="10" t="inlineStr">
        <is>
          <t>Suudi Arabistan</t>
        </is>
      </c>
      <c r="G22" s="15" t="inlineStr">
        <is>
          <t>Yüksek (profesyonel)</t>
        </is>
      </c>
      <c r="H22" s="11">
        <f>HYPERLINK("https://www.linkedin.com/search/results/people/?keywords=Saad%20Al-Dugaish%20Arab%20National%20Bank","LinkedIn'de bul")</f>
        <v/>
      </c>
      <c r="I22" s="11">
        <f>HYPERLINK("https://anb.com.sa","anb.com.sa")</f>
        <v/>
      </c>
      <c r="J22" s="10" t="inlineStr"/>
      <c r="K22" s="11">
        <f>HYPERLINK("https://anb.com.sa/web/anb/executive-management","Kaynak")</f>
        <v/>
      </c>
    </row>
    <row r="23" ht="30" customHeight="1">
      <c r="A23" s="8" t="n">
        <v>21</v>
      </c>
      <c r="B23" s="10" t="inlineStr">
        <is>
          <t>Banking</t>
        </is>
      </c>
      <c r="C23" s="10" t="inlineStr">
        <is>
          <t>Nasser bin Mohammed Al-Subaie</t>
        </is>
      </c>
      <c r="D23" s="10" t="inlineStr">
        <is>
          <t>Chairman</t>
        </is>
      </c>
      <c r="E23" s="10" t="inlineStr">
        <is>
          <t>Bank Albilad</t>
        </is>
      </c>
      <c r="F23" s="10" t="inlineStr">
        <is>
          <t>Suudi Arabistan</t>
        </is>
      </c>
      <c r="G23" s="8" t="inlineStr">
        <is>
          <t>Orta (başkan)</t>
        </is>
      </c>
      <c r="H23" s="11">
        <f>HYPERLINK("https://www.linkedin.com/search/results/people/?keywords=Nasser%20Al-Subaie%20Bank%20Albilad","LinkedIn'de bul")</f>
        <v/>
      </c>
      <c r="I23" s="11">
        <f>HYPERLINK("https://www.bankalbilad.com.sa","bankalbilad.com.sa")</f>
        <v/>
      </c>
      <c r="J23" s="10" t="inlineStr"/>
      <c r="K23" s="11">
        <f>HYPERLINK("https://www.bankalbilad.com.sa/en/about/Pages/board-of-directors.aspx","Kaynak")</f>
        <v/>
      </c>
    </row>
    <row r="24" ht="30" customHeight="1">
      <c r="A24" s="8" t="n">
        <v>22</v>
      </c>
      <c r="B24" s="10" t="inlineStr">
        <is>
          <t>Banking</t>
        </is>
      </c>
      <c r="C24" s="10" t="inlineStr">
        <is>
          <t>Bashaar Yahya Al Qunaibit</t>
        </is>
      </c>
      <c r="D24" s="10" t="inlineStr">
        <is>
          <t>CEO</t>
        </is>
      </c>
      <c r="E24" s="10" t="inlineStr">
        <is>
          <t>Bank Albilad</t>
        </is>
      </c>
      <c r="F24" s="10" t="inlineStr">
        <is>
          <t>Suudi Arabistan</t>
        </is>
      </c>
      <c r="G24" s="15" t="inlineStr">
        <is>
          <t>Yüksek (profesyonel)</t>
        </is>
      </c>
      <c r="H24" s="11">
        <f>HYPERLINK("https://www.linkedin.com/search/results/people/?keywords=Bashaar%20Al%20Qunaibit%20Bank%20Albilad","LinkedIn'de bul")</f>
        <v/>
      </c>
      <c r="I24" s="11">
        <f>HYPERLINK("https://www.bankalbilad.com.sa","bankalbilad.com.sa")</f>
        <v/>
      </c>
      <c r="J24" s="10" t="inlineStr"/>
      <c r="K24" s="11">
        <f>HYPERLINK("https://www.bankalbilad.com.sa/en/about/pages/executive-management.aspx","Kaynak")</f>
        <v/>
      </c>
    </row>
    <row r="25" ht="30" customHeight="1">
      <c r="A25" s="8" t="n">
        <v>23</v>
      </c>
      <c r="B25" s="10" t="inlineStr">
        <is>
          <t>Banking</t>
        </is>
      </c>
      <c r="C25" s="10" t="inlineStr">
        <is>
          <t>Mishal Fahad Alshorihy</t>
        </is>
      </c>
      <c r="D25" s="10" t="inlineStr">
        <is>
          <t>EVP Finance (CFO)</t>
        </is>
      </c>
      <c r="E25" s="10" t="inlineStr">
        <is>
          <t>Bank Albilad</t>
        </is>
      </c>
      <c r="F25" s="10" t="inlineStr">
        <is>
          <t>Suudi Arabistan</t>
        </is>
      </c>
      <c r="G25" s="15" t="inlineStr">
        <is>
          <t>Yüksek (profesyonel)</t>
        </is>
      </c>
      <c r="H25" s="11">
        <f>HYPERLINK("https://www.linkedin.com/search/results/people/?keywords=Mishal%20Alshorihy%20Bank%20Albilad","LinkedIn'de bul")</f>
        <v/>
      </c>
      <c r="I25" s="11">
        <f>HYPERLINK("https://www.bankalbilad.com.sa","bankalbilad.com.sa")</f>
        <v/>
      </c>
      <c r="J25" s="10" t="inlineStr"/>
      <c r="K25" s="11">
        <f>HYPERLINK("https://www.bankalbilad.com.sa/en/about/pages/executive-management.aspx","Kaynak")</f>
        <v/>
      </c>
    </row>
    <row r="26" ht="30" customHeight="1">
      <c r="A26" s="8" t="n">
        <v>24</v>
      </c>
      <c r="B26" s="10" t="inlineStr">
        <is>
          <t>Health Insurance</t>
        </is>
      </c>
      <c r="C26" s="10" t="inlineStr">
        <is>
          <t>Loay Hisham Nazer</t>
        </is>
      </c>
      <c r="D26" s="10" t="inlineStr">
        <is>
          <t>Chairman</t>
        </is>
      </c>
      <c r="E26" s="10" t="inlineStr">
        <is>
          <t>Bupa Arabia</t>
        </is>
      </c>
      <c r="F26" s="10" t="inlineStr">
        <is>
          <t>Suudi Arabistan</t>
        </is>
      </c>
      <c r="G26" s="8" t="inlineStr">
        <is>
          <t>Orta (başkan)</t>
        </is>
      </c>
      <c r="H26" s="11">
        <f>HYPERLINK("https://www.linkedin.com/search/results/people/?keywords=Loay%20Nazer%20Bupa%20Arabia","LinkedIn'de bul")</f>
        <v/>
      </c>
      <c r="I26" s="11">
        <f>HYPERLINK("https://www.bupa.com.sa","bupa.com.sa")</f>
        <v/>
      </c>
      <c r="J26" s="10" t="inlineStr"/>
      <c r="K26" s="11">
        <f>HYPERLINK("https://www.nazer.com/leadership","Kaynak")</f>
        <v/>
      </c>
    </row>
    <row r="27" ht="30" customHeight="1">
      <c r="A27" s="8" t="n">
        <v>25</v>
      </c>
      <c r="B27" s="10" t="inlineStr">
        <is>
          <t>Health Insurance</t>
        </is>
      </c>
      <c r="C27" s="10" t="inlineStr">
        <is>
          <t>Tal Hisham Nazer</t>
        </is>
      </c>
      <c r="D27" s="10" t="inlineStr">
        <is>
          <t>CEO and Managing Director</t>
        </is>
      </c>
      <c r="E27" s="10" t="inlineStr">
        <is>
          <t>Bupa Arabia</t>
        </is>
      </c>
      <c r="F27" s="10" t="inlineStr">
        <is>
          <t>Suudi Arabistan</t>
        </is>
      </c>
      <c r="G27" s="15" t="inlineStr">
        <is>
          <t>Yüksek (profesyonel)</t>
        </is>
      </c>
      <c r="H27" s="11">
        <f>HYPERLINK("https://www.linkedin.com/search/results/people/?keywords=Tal%20Nazer%20Bupa%20Arabia","LinkedIn'de bul")</f>
        <v/>
      </c>
      <c r="I27" s="11">
        <f>HYPERLINK("https://www.bupa.com.sa","bupa.com.sa")</f>
        <v/>
      </c>
      <c r="J27" s="10" t="inlineStr"/>
      <c r="K27" s="11">
        <f>HYPERLINK("https://www.nazer.com/leadership_info/2","Kaynak")</f>
        <v/>
      </c>
    </row>
    <row r="28" ht="30" customHeight="1">
      <c r="A28" s="8" t="n">
        <v>26</v>
      </c>
      <c r="B28" s="10" t="inlineStr">
        <is>
          <t>Health Insurance</t>
        </is>
      </c>
      <c r="C28" s="10" t="inlineStr">
        <is>
          <t>Nader Ashoor</t>
        </is>
      </c>
      <c r="D28" s="10" t="inlineStr">
        <is>
          <t>Deputy CEO and CFO</t>
        </is>
      </c>
      <c r="E28" s="10" t="inlineStr">
        <is>
          <t>Bupa Arabia</t>
        </is>
      </c>
      <c r="F28" s="10" t="inlineStr">
        <is>
          <t>Suudi Arabistan</t>
        </is>
      </c>
      <c r="G28" s="15" t="inlineStr">
        <is>
          <t>Yüksek (profesyonel)</t>
        </is>
      </c>
      <c r="H28" s="11">
        <f>HYPERLINK("https://www.linkedin.com/search/results/people/?keywords=Nader%20Ashoor%20Bupa%20Arabia","LinkedIn'de bul")</f>
        <v/>
      </c>
      <c r="I28" s="11">
        <f>HYPERLINK("https://www.bupa.com.sa","bupa.com.sa")</f>
        <v/>
      </c>
      <c r="J28" s="10" t="inlineStr"/>
      <c r="K28" s="11">
        <f>HYPERLINK("https://annualreport.plus/bupa2022/en/annual-report/governance_and_risk_management_report/our_chief_executive_team.html","Kaynak")</f>
        <v/>
      </c>
    </row>
    <row r="29" ht="30" customHeight="1">
      <c r="A29" s="8" t="n">
        <v>27</v>
      </c>
      <c r="B29" s="10" t="inlineStr">
        <is>
          <t>Financial Markets</t>
        </is>
      </c>
      <c r="C29" s="10" t="inlineStr">
        <is>
          <t>Mazen Abdulrazzaq Al Romaih</t>
        </is>
      </c>
      <c r="D29" s="10" t="inlineStr">
        <is>
          <t>Chairman</t>
        </is>
      </c>
      <c r="E29" s="10" t="inlineStr">
        <is>
          <t>Saudi Tadawul Group</t>
        </is>
      </c>
      <c r="F29" s="10" t="inlineStr">
        <is>
          <t>Suudi Arabistan</t>
        </is>
      </c>
      <c r="G29" s="8" t="inlineStr">
        <is>
          <t>Orta (başkan)</t>
        </is>
      </c>
      <c r="H29" s="11">
        <f>HYPERLINK("https://www.linkedin.com/search/results/people/?keywords=Mazen%20Al%20Romaih%20Saudi%20Tadawul%20Group","LinkedIn'de bul")</f>
        <v/>
      </c>
      <c r="I29" s="11">
        <f>HYPERLINK("https://www.tadawulgroup.sa","tadawulgroup.sa")</f>
        <v/>
      </c>
      <c r="J29" s="10" t="inlineStr"/>
      <c r="K29" s="11">
        <f>HYPERLINK("https://www.zawya.com/en/capital-markets/equities/saudi-tadawul-group-names-chairman-vice-chairman-j8k2xvme","Kaynak")</f>
        <v/>
      </c>
    </row>
    <row r="30" ht="30" customHeight="1">
      <c r="A30" s="8" t="n">
        <v>28</v>
      </c>
      <c r="B30" s="10" t="inlineStr">
        <is>
          <t>Financial Markets</t>
        </is>
      </c>
      <c r="C30" s="10" t="inlineStr">
        <is>
          <t>Khalid Abdullah Al-Hussan</t>
        </is>
      </c>
      <c r="D30" s="10" t="inlineStr">
        <is>
          <t>Group CEO</t>
        </is>
      </c>
      <c r="E30" s="10" t="inlineStr">
        <is>
          <t>Saudi Tadawul Group</t>
        </is>
      </c>
      <c r="F30" s="10" t="inlineStr">
        <is>
          <t>Suudi Arabistan</t>
        </is>
      </c>
      <c r="G30" s="15" t="inlineStr">
        <is>
          <t>Yüksek (profesyonel)</t>
        </is>
      </c>
      <c r="H30" s="11">
        <f>HYPERLINK("https://www.linkedin.com/search/results/people/?keywords=Khalid%20Al-Hussan%20Saudi%20Tadawul%20Group","LinkedIn'de bul")</f>
        <v/>
      </c>
      <c r="I30" s="11">
        <f>HYPERLINK("https://www.tadawulgroup.sa","tadawulgroup.sa")</f>
        <v/>
      </c>
      <c r="J30" s="10" t="inlineStr"/>
      <c r="K30" s="11">
        <f>HYPERLINK("https://www.tadawulgroup.sa/wps/portal/tadawulgroup/aboutus/team","Kaynak")</f>
        <v/>
      </c>
    </row>
    <row r="31" ht="30" customHeight="1">
      <c r="A31" s="8" t="n">
        <v>29</v>
      </c>
      <c r="B31" s="10" t="inlineStr">
        <is>
          <t>Financial Markets</t>
        </is>
      </c>
      <c r="C31" s="10" t="inlineStr">
        <is>
          <t>Shahrukh Qureshi</t>
        </is>
      </c>
      <c r="D31" s="10" t="inlineStr">
        <is>
          <t>CFO</t>
        </is>
      </c>
      <c r="E31" s="10" t="inlineStr">
        <is>
          <t>Saudi Tadawul Group</t>
        </is>
      </c>
      <c r="F31" s="10" t="inlineStr">
        <is>
          <t>Suudi Arabistan</t>
        </is>
      </c>
      <c r="G31" s="15" t="inlineStr">
        <is>
          <t>Yüksek (profesyonel)</t>
        </is>
      </c>
      <c r="H31" s="11">
        <f>HYPERLINK("https://www.linkedin.com/search/results/people/?keywords=Shahrukh%20Qureshi%20Saudi%20Tadawul%20Group","LinkedIn'de bul")</f>
        <v/>
      </c>
      <c r="I31" s="11">
        <f>HYPERLINK("https://www.tadawulgroup.sa","tadawulgroup.sa")</f>
        <v/>
      </c>
      <c r="J31" s="10" t="inlineStr"/>
      <c r="K31" s="11">
        <f>HYPERLINK("https://www.tadawulgroup.sa/wps/portal/tadawulgroup/aboutus/team","Kaynak")</f>
        <v/>
      </c>
    </row>
    <row r="32" ht="30" customHeight="1">
      <c r="A32" s="8" t="n">
        <v>30</v>
      </c>
      <c r="B32" s="10" t="inlineStr">
        <is>
          <t>Energy / Oil &amp; Gas</t>
        </is>
      </c>
      <c r="C32" s="10" t="inlineStr">
        <is>
          <t>Yasir Al-Rumayyan</t>
        </is>
      </c>
      <c r="D32" s="10" t="inlineStr">
        <is>
          <t>Chairman</t>
        </is>
      </c>
      <c r="E32" s="10" t="inlineStr">
        <is>
          <t>Saudi Aramco</t>
        </is>
      </c>
      <c r="F32" s="10" t="inlineStr">
        <is>
          <t>Suudi Arabistan</t>
        </is>
      </c>
      <c r="G32" s="8" t="inlineStr">
        <is>
          <t>Orta (başkan)</t>
        </is>
      </c>
      <c r="H32" s="11">
        <f>HYPERLINK("https://www.linkedin.com/search/results/people/?keywords=Yasir%20Al-Rumayyan%20Saudi%20Aramco","LinkedIn'de bul")</f>
        <v/>
      </c>
      <c r="I32" s="11">
        <f>HYPERLINK("https://www.aramco.com","aramco.com")</f>
        <v/>
      </c>
      <c r="J32" s="10" t="inlineStr"/>
      <c r="K32" s="11">
        <f>HYPERLINK("https://www.aramco.com/en/about-us/our-leadership/board-of-directors","Kaynak")</f>
        <v/>
      </c>
    </row>
    <row r="33" ht="30" customHeight="1">
      <c r="A33" s="8" t="n">
        <v>31</v>
      </c>
      <c r="B33" s="10" t="inlineStr">
        <is>
          <t>Energy / Oil &amp; Gas</t>
        </is>
      </c>
      <c r="C33" s="10" t="inlineStr">
        <is>
          <t>Amin H. Nasser</t>
        </is>
      </c>
      <c r="D33" s="10" t="inlineStr">
        <is>
          <t>President &amp; CEO</t>
        </is>
      </c>
      <c r="E33" s="10" t="inlineStr">
        <is>
          <t>Saudi Aramco</t>
        </is>
      </c>
      <c r="F33" s="10" t="inlineStr">
        <is>
          <t>Suudi Arabistan</t>
        </is>
      </c>
      <c r="G33" s="15" t="inlineStr">
        <is>
          <t>Yüksek (profesyonel)</t>
        </is>
      </c>
      <c r="H33" s="11">
        <f>HYPERLINK("https://www.linkedin.com/search/results/people/?keywords=Amin%20Nasser%20Saudi%20Aramco","LinkedIn'de bul")</f>
        <v/>
      </c>
      <c r="I33" s="11">
        <f>HYPERLINK("https://www.aramco.com","aramco.com")</f>
        <v/>
      </c>
      <c r="J33" s="10" t="inlineStr"/>
      <c r="K33" s="11">
        <f>HYPERLINK("https://www.aramco.com/en/about-us/our-leadership","Kaynak")</f>
        <v/>
      </c>
    </row>
    <row r="34" ht="30" customHeight="1">
      <c r="A34" s="8" t="n">
        <v>32</v>
      </c>
      <c r="B34" s="10" t="inlineStr">
        <is>
          <t>Energy / Oil &amp; Gas</t>
        </is>
      </c>
      <c r="C34" s="10" t="inlineStr">
        <is>
          <t>Ziad T. Al-Murshed</t>
        </is>
      </c>
      <c r="D34" s="10" t="inlineStr">
        <is>
          <t>EVP &amp; CFO</t>
        </is>
      </c>
      <c r="E34" s="10" t="inlineStr">
        <is>
          <t>Saudi Aramco</t>
        </is>
      </c>
      <c r="F34" s="10" t="inlineStr">
        <is>
          <t>Suudi Arabistan</t>
        </is>
      </c>
      <c r="G34" s="15" t="inlineStr">
        <is>
          <t>Yüksek (profesyonel)</t>
        </is>
      </c>
      <c r="H34" s="11">
        <f>HYPERLINK("https://www.linkedin.com/search/results/people/?keywords=Ziad%20Al-Murshed%20Saudi%20Aramco","LinkedIn'de bul")</f>
        <v/>
      </c>
      <c r="I34" s="11">
        <f>HYPERLINK("https://www.aramco.com","aramco.com")</f>
        <v/>
      </c>
      <c r="J34" s="10" t="inlineStr"/>
      <c r="K34" s="11">
        <f>HYPERLINK("https://www.aramco.com/en/about-us/our-leadership/ziad-al-murshed","Kaynak")</f>
        <v/>
      </c>
    </row>
    <row r="35" ht="30" customHeight="1">
      <c r="A35" s="8" t="n">
        <v>33</v>
      </c>
      <c r="B35" s="10" t="inlineStr">
        <is>
          <t>Petrochemicals</t>
        </is>
      </c>
      <c r="C35" s="10" t="inlineStr">
        <is>
          <t>Khalid Al-Dabbagh</t>
        </is>
      </c>
      <c r="D35" s="10" t="inlineStr">
        <is>
          <t>Chairman</t>
        </is>
      </c>
      <c r="E35" s="10" t="inlineStr">
        <is>
          <t>SABIC</t>
        </is>
      </c>
      <c r="F35" s="10" t="inlineStr">
        <is>
          <t>Suudi Arabistan</t>
        </is>
      </c>
      <c r="G35" s="8" t="inlineStr">
        <is>
          <t>Orta (başkan)</t>
        </is>
      </c>
      <c r="H35" s="11">
        <f>HYPERLINK("https://www.linkedin.com/search/results/people/?keywords=Khalid%20Al-Dabbagh%20SABIC","LinkedIn'de bul")</f>
        <v/>
      </c>
      <c r="I35" s="11">
        <f>HYPERLINK("https://www.sabic.com","sabic.com")</f>
        <v/>
      </c>
      <c r="J35" s="10" t="inlineStr"/>
      <c r="K35" s="11">
        <f>HYPERLINK("https://www.sabic.com/en/about/corporate-profile/board-of-directors-and-executive-management","Kaynak")</f>
        <v/>
      </c>
    </row>
    <row r="36" ht="30" customHeight="1">
      <c r="A36" s="8" t="n">
        <v>34</v>
      </c>
      <c r="B36" s="10" t="inlineStr">
        <is>
          <t>Petrochemicals</t>
        </is>
      </c>
      <c r="C36" s="10" t="inlineStr">
        <is>
          <t>Abdulrahman Al-Fageeh</t>
        </is>
      </c>
      <c r="D36" s="10" t="inlineStr">
        <is>
          <t>CEO</t>
        </is>
      </c>
      <c r="E36" s="10" t="inlineStr">
        <is>
          <t>SABIC</t>
        </is>
      </c>
      <c r="F36" s="10" t="inlineStr">
        <is>
          <t>Suudi Arabistan</t>
        </is>
      </c>
      <c r="G36" s="15" t="inlineStr">
        <is>
          <t>Yüksek (profesyonel)</t>
        </is>
      </c>
      <c r="H36" s="11">
        <f>HYPERLINK("https://www.linkedin.com/search/results/people/?keywords=Abdulrahman%20Al-Fageeh%20SABIC","LinkedIn'de bul")</f>
        <v/>
      </c>
      <c r="I36" s="11">
        <f>HYPERLINK("https://www.sabic.com","sabic.com")</f>
        <v/>
      </c>
      <c r="J36" s="10" t="inlineStr"/>
      <c r="K36" s="11">
        <f>HYPERLINK("https://www.sabic.com/en/about/corporate-profile/board-of-directors-executive-management/abdulrahman-al-fageeh","Kaynak")</f>
        <v/>
      </c>
    </row>
    <row r="37" ht="30" customHeight="1">
      <c r="A37" s="8" t="n">
        <v>35</v>
      </c>
      <c r="B37" s="10" t="inlineStr">
        <is>
          <t>Petrochemicals</t>
        </is>
      </c>
      <c r="C37" s="10" t="inlineStr">
        <is>
          <t>Tim Stonesifer</t>
        </is>
      </c>
      <c r="D37" s="10" t="inlineStr">
        <is>
          <t>CFO</t>
        </is>
      </c>
      <c r="E37" s="10" t="inlineStr">
        <is>
          <t>SABIC</t>
        </is>
      </c>
      <c r="F37" s="10" t="inlineStr">
        <is>
          <t>Suudi Arabistan</t>
        </is>
      </c>
      <c r="G37" s="15" t="inlineStr">
        <is>
          <t>Yüksek (profesyonel)</t>
        </is>
      </c>
      <c r="H37" s="11">
        <f>HYPERLINK("https://www.linkedin.com/search/results/people/?keywords=Tim%20Stonesifer%20SABIC","LinkedIn'de bul")</f>
        <v/>
      </c>
      <c r="I37" s="11">
        <f>HYPERLINK("https://www.sabic.com","sabic.com")</f>
        <v/>
      </c>
      <c r="J37" s="10" t="inlineStr"/>
      <c r="K37" s="11">
        <f>HYPERLINK("https://www.sabic.com/en/about/corporate-profile/board-of-directors-and-executive-management","Kaynak")</f>
        <v/>
      </c>
    </row>
    <row r="38" ht="30" customHeight="1">
      <c r="A38" s="8" t="n">
        <v>36</v>
      </c>
      <c r="B38" s="10" t="inlineStr">
        <is>
          <t>Mining &amp; Metals</t>
        </is>
      </c>
      <c r="C38" s="10" t="inlineStr">
        <is>
          <t>Bob Wilt</t>
        </is>
      </c>
      <c r="D38" s="10" t="inlineStr">
        <is>
          <t>CEO</t>
        </is>
      </c>
      <c r="E38" s="10" t="inlineStr">
        <is>
          <t>Ma'aden</t>
        </is>
      </c>
      <c r="F38" s="10" t="inlineStr">
        <is>
          <t>Suudi Arabistan</t>
        </is>
      </c>
      <c r="G38" s="15" t="inlineStr">
        <is>
          <t>Yüksek (profesyonel)</t>
        </is>
      </c>
      <c r="H38" s="11">
        <f>HYPERLINK("https://www.linkedin.com/search/results/people/?keywords=Bob%20Wilt%20Maaden","LinkedIn'de bul")</f>
        <v/>
      </c>
      <c r="I38" s="11">
        <f>HYPERLINK("https://www.maaden.com","maaden.com")</f>
        <v/>
      </c>
      <c r="J38" s="10" t="inlineStr"/>
      <c r="K38" s="11">
        <f>HYPERLINK("https://www.maaden.com/discover-us/leadership","Kaynak")</f>
        <v/>
      </c>
    </row>
    <row r="39" ht="30" customHeight="1">
      <c r="A39" s="8" t="n">
        <v>37</v>
      </c>
      <c r="B39" s="10" t="inlineStr">
        <is>
          <t>Mining &amp; Metals</t>
        </is>
      </c>
      <c r="C39" s="10" t="inlineStr">
        <is>
          <t>Gilberto Antoniazzi</t>
        </is>
      </c>
      <c r="D39" s="10" t="inlineStr">
        <is>
          <t>EVP &amp; CFO</t>
        </is>
      </c>
      <c r="E39" s="10" t="inlineStr">
        <is>
          <t>Ma'aden</t>
        </is>
      </c>
      <c r="F39" s="10" t="inlineStr">
        <is>
          <t>Suudi Arabistan</t>
        </is>
      </c>
      <c r="G39" s="15" t="inlineStr">
        <is>
          <t>Yüksek (profesyonel)</t>
        </is>
      </c>
      <c r="H39" s="11">
        <f>HYPERLINK("https://www.linkedin.com/search/results/people/?keywords=Gilberto%20Antoniazzi%20Maaden","LinkedIn'de bul")</f>
        <v/>
      </c>
      <c r="I39" s="11">
        <f>HYPERLINK("https://www.maaden.com","maaden.com")</f>
        <v/>
      </c>
      <c r="J39" s="10" t="inlineStr"/>
      <c r="K39" s="11">
        <f>HYPERLINK("https://www.maaden.com/discover-us/leadership","Kaynak")</f>
        <v/>
      </c>
    </row>
    <row r="40" ht="30" customHeight="1">
      <c r="A40" s="8" t="n">
        <v>38</v>
      </c>
      <c r="B40" s="10" t="inlineStr">
        <is>
          <t>Utilities</t>
        </is>
      </c>
      <c r="C40" s="10" t="inlineStr">
        <is>
          <t>Najm bin Abdullah Al-Zaid</t>
        </is>
      </c>
      <c r="D40" s="10" t="inlineStr">
        <is>
          <t>Chairman</t>
        </is>
      </c>
      <c r="E40" s="10" t="inlineStr">
        <is>
          <t>Saudi Electricity Company</t>
        </is>
      </c>
      <c r="F40" s="10" t="inlineStr">
        <is>
          <t>Suudi Arabistan</t>
        </is>
      </c>
      <c r="G40" s="8" t="inlineStr">
        <is>
          <t>Orta (başkan)</t>
        </is>
      </c>
      <c r="H40" s="11">
        <f>HYPERLINK("https://www.linkedin.com/search/results/people/?keywords=Najm%20Al-Zaid%20Saudi%20Electricity","LinkedIn'de bul")</f>
        <v/>
      </c>
      <c r="I40" s="11">
        <f>HYPERLINK("https://www.se.com.sa","se.com.sa")</f>
        <v/>
      </c>
      <c r="J40" s="10" t="inlineStr"/>
      <c r="K40" s="11">
        <f>HYPERLINK("https://www.se.com.sa/en/Whoweare/Column3/About-Company/Board-of-Directors/","Kaynak")</f>
        <v/>
      </c>
    </row>
    <row r="41" ht="30" customHeight="1">
      <c r="A41" s="8" t="n">
        <v>39</v>
      </c>
      <c r="B41" s="10" t="inlineStr">
        <is>
          <t>Utilities</t>
        </is>
      </c>
      <c r="C41" s="10" t="inlineStr">
        <is>
          <t>Khalid bin Salem AlGhamdi</t>
        </is>
      </c>
      <c r="D41" s="10" t="inlineStr">
        <is>
          <t>CEO</t>
        </is>
      </c>
      <c r="E41" s="10" t="inlineStr">
        <is>
          <t>Saudi Electricity Company</t>
        </is>
      </c>
      <c r="F41" s="10" t="inlineStr">
        <is>
          <t>Suudi Arabistan</t>
        </is>
      </c>
      <c r="G41" s="15" t="inlineStr">
        <is>
          <t>Yüksek (profesyonel)</t>
        </is>
      </c>
      <c r="H41" s="11">
        <f>HYPERLINK("https://www.linkedin.com/search/results/people/?keywords=Khalid%20AlGhamdi%20Saudi%20Electricity","LinkedIn'de bul")</f>
        <v/>
      </c>
      <c r="I41" s="11">
        <f>HYPERLINK("https://www.se.com.sa","se.com.sa")</f>
        <v/>
      </c>
      <c r="J41" s="10" t="inlineStr"/>
      <c r="K41" s="11">
        <f>HYPERLINK("https://www.se.com.sa/en/Whoweare/Column3/About-Company/Executive-Management/","Kaynak")</f>
        <v/>
      </c>
    </row>
    <row r="42" ht="30" customHeight="1">
      <c r="A42" s="8" t="n">
        <v>40</v>
      </c>
      <c r="B42" s="10" t="inlineStr">
        <is>
          <t>Utilities</t>
        </is>
      </c>
      <c r="C42" s="10" t="inlineStr">
        <is>
          <t>Abdulaziz AlMuhaiza</t>
        </is>
      </c>
      <c r="D42" s="10" t="inlineStr">
        <is>
          <t>EVP &amp; CFO</t>
        </is>
      </c>
      <c r="E42" s="10" t="inlineStr">
        <is>
          <t>Saudi Electricity Company</t>
        </is>
      </c>
      <c r="F42" s="10" t="inlineStr">
        <is>
          <t>Suudi Arabistan</t>
        </is>
      </c>
      <c r="G42" s="15" t="inlineStr">
        <is>
          <t>Yüksek (profesyonel)</t>
        </is>
      </c>
      <c r="H42" s="11">
        <f>HYPERLINK("https://www.linkedin.com/search/results/people/?keywords=Abdulaziz%20AlMuhaiza%20Saudi%20Electricity","LinkedIn'de bul")</f>
        <v/>
      </c>
      <c r="I42" s="11">
        <f>HYPERLINK("https://www.se.com.sa","se.com.sa")</f>
        <v/>
      </c>
      <c r="J42" s="10" t="inlineStr"/>
      <c r="K42" s="11">
        <f>HYPERLINK("https://www.se.com.sa/en/Whoweare/Column3/About-Company/Executive-Management/","Kaynak")</f>
        <v/>
      </c>
    </row>
    <row r="43" ht="30" customHeight="1">
      <c r="A43" s="8" t="n">
        <v>41</v>
      </c>
      <c r="B43" s="10" t="inlineStr">
        <is>
          <t>Utilities</t>
        </is>
      </c>
      <c r="C43" s="10" t="inlineStr">
        <is>
          <t>Mohammad Abunayyan</t>
        </is>
      </c>
      <c r="D43" s="10" t="inlineStr">
        <is>
          <t>Chairman</t>
        </is>
      </c>
      <c r="E43" s="10" t="inlineStr">
        <is>
          <t>ACWA Power</t>
        </is>
      </c>
      <c r="F43" s="10" t="inlineStr">
        <is>
          <t>Suudi Arabistan</t>
        </is>
      </c>
      <c r="G43" s="8" t="inlineStr">
        <is>
          <t>Orta (başkan)</t>
        </is>
      </c>
      <c r="H43" s="11">
        <f>HYPERLINK("https://www.linkedin.com/search/results/people/?keywords=Mohammad%20Abunayyan%20ACWA%20Power","LinkedIn'de bul")</f>
        <v/>
      </c>
      <c r="I43" s="11">
        <f>HYPERLINK("https://acwapower.com","acwapower.com")</f>
        <v/>
      </c>
      <c r="J43" s="10" t="inlineStr"/>
      <c r="K43" s="11">
        <f>HYPERLINK("https://acwapower.com/en/about-us/management-team/","Kaynak")</f>
        <v/>
      </c>
    </row>
    <row r="44" ht="30" customHeight="1">
      <c r="A44" s="8" t="n">
        <v>42</v>
      </c>
      <c r="B44" s="10" t="inlineStr">
        <is>
          <t>Utilities</t>
        </is>
      </c>
      <c r="C44" s="10" t="inlineStr">
        <is>
          <t>Samir J. Serhan</t>
        </is>
      </c>
      <c r="D44" s="10" t="inlineStr">
        <is>
          <t>CEO</t>
        </is>
      </c>
      <c r="E44" s="10" t="inlineStr">
        <is>
          <t>ACWA Power</t>
        </is>
      </c>
      <c r="F44" s="10" t="inlineStr">
        <is>
          <t>Suudi Arabistan</t>
        </is>
      </c>
      <c r="G44" s="15" t="inlineStr">
        <is>
          <t>Yüksek (profesyonel)</t>
        </is>
      </c>
      <c r="H44" s="11">
        <f>HYPERLINK("https://www.linkedin.com/search/results/people/?keywords=Samir%20Serhan%20ACWA%20Power","LinkedIn'de bul")</f>
        <v/>
      </c>
      <c r="I44" s="11">
        <f>HYPERLINK("https://acwapower.com","acwapower.com")</f>
        <v/>
      </c>
      <c r="J44" s="10" t="inlineStr"/>
      <c r="K44" s="11">
        <f>HYPERLINK("https://acwapower.com/en/media-center/latest-news/acwa-board-of-directors-names-dr-samir-j-serhan-chief-executive-officer/","Kaynak")</f>
        <v/>
      </c>
    </row>
    <row r="45" ht="30" customHeight="1">
      <c r="A45" s="8" t="n">
        <v>43</v>
      </c>
      <c r="B45" s="10" t="inlineStr">
        <is>
          <t>Utilities</t>
        </is>
      </c>
      <c r="C45" s="10" t="inlineStr">
        <is>
          <t>Abdulhameed Al-Muhaidib</t>
        </is>
      </c>
      <c r="D45" s="10" t="inlineStr">
        <is>
          <t>CFO</t>
        </is>
      </c>
      <c r="E45" s="10" t="inlineStr">
        <is>
          <t>ACWA Power</t>
        </is>
      </c>
      <c r="F45" s="10" t="inlineStr">
        <is>
          <t>Suudi Arabistan</t>
        </is>
      </c>
      <c r="G45" s="15" t="inlineStr">
        <is>
          <t>Yüksek (profesyonel)</t>
        </is>
      </c>
      <c r="H45" s="11">
        <f>HYPERLINK("https://www.linkedin.com/search/results/people/?keywords=Abdulhameed%20Al-Muhaidib%20ACWA%20Power","LinkedIn'de bul")</f>
        <v/>
      </c>
      <c r="I45" s="11">
        <f>HYPERLINK("https://acwapower.com","acwapower.com")</f>
        <v/>
      </c>
      <c r="J45" s="10" t="inlineStr"/>
      <c r="K45" s="11">
        <f>HYPERLINK("https://acwapower.com/en/about-us/management-team/","Kaynak")</f>
        <v/>
      </c>
    </row>
    <row r="46" ht="30" customHeight="1">
      <c r="A46" s="8" t="n">
        <v>44</v>
      </c>
      <c r="B46" s="10" t="inlineStr">
        <is>
          <t>Refining &amp; Petrochemicals</t>
        </is>
      </c>
      <c r="C46" s="10" t="inlineStr">
        <is>
          <t>Ibrahim Q. Al-Buainain</t>
        </is>
      </c>
      <c r="D46" s="10" t="inlineStr">
        <is>
          <t>Chairman</t>
        </is>
      </c>
      <c r="E46" s="10" t="inlineStr">
        <is>
          <t>Petro Rabigh</t>
        </is>
      </c>
      <c r="F46" s="10" t="inlineStr">
        <is>
          <t>Suudi Arabistan</t>
        </is>
      </c>
      <c r="G46" s="8" t="inlineStr">
        <is>
          <t>Orta (başkan)</t>
        </is>
      </c>
      <c r="H46" s="11">
        <f>HYPERLINK("https://www.linkedin.com/search/results/people/?keywords=Ibrahim%20Al-Buainain%20Petro%20Rabigh","LinkedIn'de bul")</f>
        <v/>
      </c>
      <c r="I46" s="11">
        <f>HYPERLINK("https://www.petrorabigh.com","petrorabigh.com")</f>
        <v/>
      </c>
      <c r="J46" s="10" t="inlineStr"/>
      <c r="K46" s="11">
        <f>HYPERLINK("https://www.arabnews.com/node/1962981/business-economy","Kaynak")</f>
        <v/>
      </c>
    </row>
    <row r="47" ht="30" customHeight="1">
      <c r="A47" s="8" t="n">
        <v>45</v>
      </c>
      <c r="B47" s="10" t="inlineStr">
        <is>
          <t>Refining &amp; Petrochemicals</t>
        </is>
      </c>
      <c r="C47" s="10" t="inlineStr">
        <is>
          <t>Othman Ali Al-Ghamdi</t>
        </is>
      </c>
      <c r="D47" s="10" t="inlineStr">
        <is>
          <t>President &amp; CEO</t>
        </is>
      </c>
      <c r="E47" s="10" t="inlineStr">
        <is>
          <t>Petro Rabigh</t>
        </is>
      </c>
      <c r="F47" s="10" t="inlineStr">
        <is>
          <t>Suudi Arabistan</t>
        </is>
      </c>
      <c r="G47" s="15" t="inlineStr">
        <is>
          <t>Yüksek (profesyonel)</t>
        </is>
      </c>
      <c r="H47" s="11">
        <f>HYPERLINK("https://www.linkedin.com/search/results/people/?keywords=Othman%20Al-Ghamdi%20Petro%20Rabigh","LinkedIn'de bul")</f>
        <v/>
      </c>
      <c r="I47" s="11">
        <f>HYPERLINK("https://www.petrorabigh.com","petrorabigh.com")</f>
        <v/>
      </c>
      <c r="J47" s="10" t="inlineStr"/>
      <c r="K47" s="11">
        <f>HYPERLINK("https://www.petrorabigh.com","Kaynak")</f>
        <v/>
      </c>
    </row>
    <row r="48" ht="30" customHeight="1">
      <c r="A48" s="8" t="n">
        <v>46</v>
      </c>
      <c r="B48" s="10" t="inlineStr">
        <is>
          <t>Petrochemicals</t>
        </is>
      </c>
      <c r="C48" s="10" t="inlineStr">
        <is>
          <t>Faisal Suwailem</t>
        </is>
      </c>
      <c r="D48" s="10" t="inlineStr">
        <is>
          <t>Chairman</t>
        </is>
      </c>
      <c r="E48" s="10" t="inlineStr">
        <is>
          <t>Yansab</t>
        </is>
      </c>
      <c r="F48" s="10" t="inlineStr">
        <is>
          <t>Suudi Arabistan</t>
        </is>
      </c>
      <c r="G48" s="8" t="inlineStr">
        <is>
          <t>Orta (başkan)</t>
        </is>
      </c>
      <c r="H48" s="11">
        <f>HYPERLINK("https://www.linkedin.com/search/results/people/?keywords=Faisal%20Suwailem%20Yansab","LinkedIn'de bul")</f>
        <v/>
      </c>
      <c r="I48" s="11">
        <f>HYPERLINK("https://www.yansab.com.sa","yansab.com.sa")</f>
        <v/>
      </c>
      <c r="J48" s="10" t="inlineStr"/>
      <c r="K48" s="11">
        <f>HYPERLINK("https://www.yansab.com.sa/en/our-company/board-of-directors","Kaynak")</f>
        <v/>
      </c>
    </row>
    <row r="49" ht="30" customHeight="1">
      <c r="A49" s="8" t="n">
        <v>47</v>
      </c>
      <c r="B49" s="10" t="inlineStr">
        <is>
          <t>Petrochemicals</t>
        </is>
      </c>
      <c r="C49" s="10" t="inlineStr">
        <is>
          <t>Wazen Al-Solami</t>
        </is>
      </c>
      <c r="D49" s="10" t="inlineStr">
        <is>
          <t>President &amp; CEO</t>
        </is>
      </c>
      <c r="E49" s="10" t="inlineStr">
        <is>
          <t>Yansab</t>
        </is>
      </c>
      <c r="F49" s="10" t="inlineStr">
        <is>
          <t>Suudi Arabistan</t>
        </is>
      </c>
      <c r="G49" s="15" t="inlineStr">
        <is>
          <t>Yüksek (profesyonel)</t>
        </is>
      </c>
      <c r="H49" s="11">
        <f>HYPERLINK("https://www.linkedin.com/search/results/people/?keywords=Wazen%20Al-Solami%20Yansab","LinkedIn'de bul")</f>
        <v/>
      </c>
      <c r="I49" s="11">
        <f>HYPERLINK("https://www.yansab.com.sa","yansab.com.sa")</f>
        <v/>
      </c>
      <c r="J49" s="10" t="inlineStr"/>
      <c r="K49" s="11">
        <f>HYPERLINK("https://www.yansab.com.sa/en/our-company/board-of-directors","Kaynak")</f>
        <v/>
      </c>
    </row>
    <row r="50" ht="30" customHeight="1">
      <c r="A50" s="8" t="n">
        <v>48</v>
      </c>
      <c r="B50" s="10" t="inlineStr">
        <is>
          <t>Petrochemicals</t>
        </is>
      </c>
      <c r="C50" s="10" t="inlineStr">
        <is>
          <t>Abdullah AlGarni</t>
        </is>
      </c>
      <c r="D50" s="10" t="inlineStr">
        <is>
          <t>Chairman</t>
        </is>
      </c>
      <c r="E50" s="10" t="inlineStr">
        <is>
          <t>Saudi Kayan</t>
        </is>
      </c>
      <c r="F50" s="10" t="inlineStr">
        <is>
          <t>Suudi Arabistan</t>
        </is>
      </c>
      <c r="G50" s="8" t="inlineStr">
        <is>
          <t>Orta (başkan)</t>
        </is>
      </c>
      <c r="H50" s="11">
        <f>HYPERLINK("https://www.linkedin.com/search/results/people/?keywords=Abdullah%20AlGarni%20Saudi%20Kayan","LinkedIn'de bul")</f>
        <v/>
      </c>
      <c r="I50" s="11">
        <f>HYPERLINK("https://www.saudikayan.com","saudikayan.com")</f>
        <v/>
      </c>
      <c r="J50" s="10" t="inlineStr"/>
      <c r="K50" s="11">
        <f>HYPERLINK("https://www.saudikayan.com/en/our-company/executive-team","Kaynak")</f>
        <v/>
      </c>
    </row>
    <row r="51" ht="30" customHeight="1">
      <c r="A51" s="8" t="n">
        <v>49</v>
      </c>
      <c r="B51" s="10" t="inlineStr">
        <is>
          <t>Petrochemicals</t>
        </is>
      </c>
      <c r="C51" s="10" t="inlineStr">
        <is>
          <t>Sameeh bin Sulaiman Al-Sahafi</t>
        </is>
      </c>
      <c r="D51" s="10" t="inlineStr">
        <is>
          <t>President &amp; CEO</t>
        </is>
      </c>
      <c r="E51" s="10" t="inlineStr">
        <is>
          <t>Saudi Kayan</t>
        </is>
      </c>
      <c r="F51" s="10" t="inlineStr">
        <is>
          <t>Suudi Arabistan</t>
        </is>
      </c>
      <c r="G51" s="15" t="inlineStr">
        <is>
          <t>Yüksek (profesyonel)</t>
        </is>
      </c>
      <c r="H51" s="11">
        <f>HYPERLINK("https://www.linkedin.com/search/results/people/?keywords=Sameeh%20Al-Sahafi%20Saudi%20Kayan","LinkedIn'de bul")</f>
        <v/>
      </c>
      <c r="I51" s="11">
        <f>HYPERLINK("https://www.saudikayan.com","saudikayan.com")</f>
        <v/>
      </c>
      <c r="J51" s="10" t="inlineStr"/>
      <c r="K51" s="11">
        <f>HYPERLINK("https://www.saudikayan.com/en/our-company/executive-team","Kaynak")</f>
        <v/>
      </c>
    </row>
    <row r="52" ht="30" customHeight="1">
      <c r="A52" s="8" t="n">
        <v>50</v>
      </c>
      <c r="B52" s="10" t="inlineStr">
        <is>
          <t>Petrochemicals</t>
        </is>
      </c>
      <c r="C52" s="10" t="inlineStr">
        <is>
          <t>Khalifa A. Al-Mulhem</t>
        </is>
      </c>
      <c r="D52" s="10" t="inlineStr">
        <is>
          <t>Chairman</t>
        </is>
      </c>
      <c r="E52" s="10" t="inlineStr">
        <is>
          <t>Advanced Petrochemical</t>
        </is>
      </c>
      <c r="F52" s="10" t="inlineStr">
        <is>
          <t>Suudi Arabistan</t>
        </is>
      </c>
      <c r="G52" s="8" t="inlineStr">
        <is>
          <t>Orta (başkan)</t>
        </is>
      </c>
      <c r="H52" s="11">
        <f>HYPERLINK("https://www.linkedin.com/search/results/people/?keywords=Khalifa%20Al-Mulhem%20Advanced%20Petrochemical","LinkedIn'de bul")</f>
        <v/>
      </c>
      <c r="I52" s="11">
        <f>HYPERLINK("https://advancedpetrochem.com","advancedpetrochem.com")</f>
        <v/>
      </c>
      <c r="J52" s="10" t="inlineStr"/>
      <c r="K52" s="11">
        <f>HYPERLINK("https://advancedpetrochem.com/about/","Kaynak")</f>
        <v/>
      </c>
    </row>
    <row r="53" ht="30" customHeight="1">
      <c r="A53" s="8" t="n">
        <v>51</v>
      </c>
      <c r="B53" s="10" t="inlineStr">
        <is>
          <t>Petrochemicals</t>
        </is>
      </c>
      <c r="C53" s="10" t="inlineStr">
        <is>
          <t>Mamdouh H. Al-Amri</t>
        </is>
      </c>
      <c r="D53" s="10" t="inlineStr">
        <is>
          <t>President &amp; CEO</t>
        </is>
      </c>
      <c r="E53" s="10" t="inlineStr">
        <is>
          <t>Advanced Petrochemical</t>
        </is>
      </c>
      <c r="F53" s="10" t="inlineStr">
        <is>
          <t>Suudi Arabistan</t>
        </is>
      </c>
      <c r="G53" s="15" t="inlineStr">
        <is>
          <t>Yüksek (profesyonel)</t>
        </is>
      </c>
      <c r="H53" s="11">
        <f>HYPERLINK("https://www.linkedin.com/search/results/people/?keywords=Mamdouh%20Al-Amri%20Advanced%20Petrochemical","LinkedIn'de bul")</f>
        <v/>
      </c>
      <c r="I53" s="11">
        <f>HYPERLINK("https://advancedpetrochem.com","advancedpetrochem.com")</f>
        <v/>
      </c>
      <c r="J53" s="10" t="inlineStr"/>
      <c r="K53" s="11">
        <f>HYPERLINK("https://advancedpetrochem.com/about/","Kaynak")</f>
        <v/>
      </c>
    </row>
    <row r="54" ht="30" customHeight="1">
      <c r="A54" s="8" t="n">
        <v>52</v>
      </c>
      <c r="B54" s="10" t="inlineStr">
        <is>
          <t>Fertilizers</t>
        </is>
      </c>
      <c r="C54" s="10" t="inlineStr">
        <is>
          <t>Fahad M. Al-Battar</t>
        </is>
      </c>
      <c r="D54" s="10" t="inlineStr">
        <is>
          <t>CEO</t>
        </is>
      </c>
      <c r="E54" s="10" t="inlineStr">
        <is>
          <t>SABIC Agri-Nutrients</t>
        </is>
      </c>
      <c r="F54" s="10" t="inlineStr">
        <is>
          <t>Suudi Arabistan</t>
        </is>
      </c>
      <c r="G54" s="15" t="inlineStr">
        <is>
          <t>Yüksek (profesyonel)</t>
        </is>
      </c>
      <c r="H54" s="11">
        <f>HYPERLINK("https://www.linkedin.com/search/results/people/?keywords=Fahad%20Al-Battar%20SABIC%20Agri-Nutrients","LinkedIn'de bul")</f>
        <v/>
      </c>
      <c r="I54" s="11">
        <f>HYPERLINK("https://www.sabic-agrinutrients.com","sabic-agrinutrients.com")</f>
        <v/>
      </c>
      <c r="J54" s="10" t="inlineStr"/>
      <c r="K54" s="11">
        <f>HYPERLINK("https://www.argaam.com/en/article/articledetail/id/1712745","Kaynak")</f>
        <v/>
      </c>
    </row>
    <row r="55" ht="30" customHeight="1">
      <c r="A55" s="8" t="n">
        <v>53</v>
      </c>
      <c r="B55" s="10" t="inlineStr">
        <is>
          <t>Telecom</t>
        </is>
      </c>
      <c r="C55" s="10" t="inlineStr">
        <is>
          <t>HRH Prince Mohammed bin Khalid Al-Faisal</t>
        </is>
      </c>
      <c r="D55" s="10" t="inlineStr">
        <is>
          <t>Chairman</t>
        </is>
      </c>
      <c r="E55" s="10" t="inlineStr">
        <is>
          <t>stc (Saudi Telecom)</t>
        </is>
      </c>
      <c r="F55" s="10" t="inlineStr">
        <is>
          <t>Suudi Arabistan</t>
        </is>
      </c>
      <c r="G55" s="8" t="inlineStr">
        <is>
          <t>Düşük (royal/sahip)</t>
        </is>
      </c>
      <c r="H55" s="11">
        <f>HYPERLINK("https://www.linkedin.com/search/results/people/?keywords=Mohammed%20Al-Faisal%20stc","LinkedIn'de bul")</f>
        <v/>
      </c>
      <c r="I55" s="11">
        <f>HYPERLINK("https://www.stc.com","stc.com")</f>
        <v/>
      </c>
      <c r="J55" s="10" t="inlineStr"/>
      <c r="K55" s="11">
        <f>HYPERLINK("https://www.stc.com/content/stcgroupwebsite/sa/en/investors/governance/board-of-directors.html","Kaynak")</f>
        <v/>
      </c>
    </row>
    <row r="56" ht="30" customHeight="1">
      <c r="A56" s="8" t="n">
        <v>54</v>
      </c>
      <c r="B56" s="10" t="inlineStr">
        <is>
          <t>Telecom</t>
        </is>
      </c>
      <c r="C56" s="10" t="inlineStr">
        <is>
          <t>Olayan bin Mohammed Alwetaid</t>
        </is>
      </c>
      <c r="D56" s="10" t="inlineStr">
        <is>
          <t>Group CEO</t>
        </is>
      </c>
      <c r="E56" s="10" t="inlineStr">
        <is>
          <t>stc (Saudi Telecom)</t>
        </is>
      </c>
      <c r="F56" s="10" t="inlineStr">
        <is>
          <t>Suudi Arabistan</t>
        </is>
      </c>
      <c r="G56" s="15" t="inlineStr">
        <is>
          <t>Yüksek (profesyonel)</t>
        </is>
      </c>
      <c r="H56" s="11">
        <f>HYPERLINK("https://sa.linkedin.com/in/olayan-alwetaid-2a4a163","LinkedIn profili")</f>
        <v/>
      </c>
      <c r="I56" s="11">
        <f>HYPERLINK("https://www.stc.com","stc.com")</f>
        <v/>
      </c>
      <c r="J56" s="10" t="inlineStr"/>
      <c r="K56" s="11">
        <f>HYPERLINK("https://www.stc.com/content/stcgroupwebsite/sa/en/who-we-are/board-of-directors-and-executive-management.html","Kaynak")</f>
        <v/>
      </c>
    </row>
    <row r="57" ht="30" customHeight="1">
      <c r="A57" s="8" t="n">
        <v>55</v>
      </c>
      <c r="B57" s="10" t="inlineStr">
        <is>
          <t>Telecom</t>
        </is>
      </c>
      <c r="C57" s="10" t="inlineStr">
        <is>
          <t>Ameen Fahad Alshiddi</t>
        </is>
      </c>
      <c r="D57" s="10" t="inlineStr">
        <is>
          <t>Group CFO</t>
        </is>
      </c>
      <c r="E57" s="10" t="inlineStr">
        <is>
          <t>stc (Saudi Telecom)</t>
        </is>
      </c>
      <c r="F57" s="10" t="inlineStr">
        <is>
          <t>Suudi Arabistan</t>
        </is>
      </c>
      <c r="G57" s="15" t="inlineStr">
        <is>
          <t>Yüksek (profesyonel)</t>
        </is>
      </c>
      <c r="H57" s="11">
        <f>HYPERLINK("https://www.linkedin.com/search/results/people/?keywords=Ameen%20Alshiddi%20stc","LinkedIn'de bul")</f>
        <v/>
      </c>
      <c r="I57" s="11">
        <f>HYPERLINK("https://www.stc.com","stc.com")</f>
        <v/>
      </c>
      <c r="J57" s="10" t="inlineStr"/>
      <c r="K57" s="11">
        <f>HYPERLINK("https://www.stc.com/content/stcgroupwebsite/sa/en/who-we-are/board-of-directors-and-executive-management.html","Kaynak")</f>
        <v/>
      </c>
    </row>
    <row r="58" ht="30" customHeight="1">
      <c r="A58" s="8" t="n">
        <v>56</v>
      </c>
      <c r="B58" s="10" t="inlineStr">
        <is>
          <t>Telecom</t>
        </is>
      </c>
      <c r="C58" s="10" t="inlineStr">
        <is>
          <t>Suliman Abdulaziz Al Gwaiz</t>
        </is>
      </c>
      <c r="D58" s="10" t="inlineStr">
        <is>
          <t>Chairman</t>
        </is>
      </c>
      <c r="E58" s="10" t="inlineStr">
        <is>
          <t>Mobily (Etihad Etisalat)</t>
        </is>
      </c>
      <c r="F58" s="10" t="inlineStr">
        <is>
          <t>Suudi Arabistan</t>
        </is>
      </c>
      <c r="G58" s="8" t="inlineStr">
        <is>
          <t>Orta (başkan)</t>
        </is>
      </c>
      <c r="H58" s="11">
        <f>HYPERLINK("https://www.linkedin.com/search/results/people/?keywords=Suliman%20Al%20Gwaiz%20Mobily","LinkedIn'de bul")</f>
        <v/>
      </c>
      <c r="I58" s="11">
        <f>HYPERLINK("https://www.mobily.com.sa","mobily.com.sa")</f>
        <v/>
      </c>
      <c r="J58" s="10" t="inlineStr"/>
      <c r="K58" s="11">
        <f>HYPERLINK("https://www.mobily.com.sa/en/about-us/board-members","Kaynak")</f>
        <v/>
      </c>
    </row>
    <row r="59" ht="30" customHeight="1">
      <c r="A59" s="8" t="n">
        <v>57</v>
      </c>
      <c r="B59" s="10" t="inlineStr">
        <is>
          <t>Telecom</t>
        </is>
      </c>
      <c r="C59" s="10" t="inlineStr">
        <is>
          <t>Nezar Banabeela</t>
        </is>
      </c>
      <c r="D59" s="10" t="inlineStr">
        <is>
          <t>CEO</t>
        </is>
      </c>
      <c r="E59" s="10" t="inlineStr">
        <is>
          <t>Mobily (Etihad Etisalat)</t>
        </is>
      </c>
      <c r="F59" s="10" t="inlineStr">
        <is>
          <t>Suudi Arabistan</t>
        </is>
      </c>
      <c r="G59" s="15" t="inlineStr">
        <is>
          <t>Yüksek (profesyonel)</t>
        </is>
      </c>
      <c r="H59" s="11">
        <f>HYPERLINK("https://www.linkedin.com/search/results/people/?keywords=Nezar%20Banabeela%20Mobily","LinkedIn'de bul")</f>
        <v/>
      </c>
      <c r="I59" s="11">
        <f>HYPERLINK("https://www.mobily.com.sa","mobily.com.sa")</f>
        <v/>
      </c>
      <c r="J59" s="10" t="inlineStr"/>
      <c r="K59" s="11">
        <f>HYPERLINK("https://www.tadawulgroup.sa","Kaynak")</f>
        <v/>
      </c>
    </row>
    <row r="60" ht="30" customHeight="1">
      <c r="A60" s="8" t="n">
        <v>58</v>
      </c>
      <c r="B60" s="10" t="inlineStr">
        <is>
          <t>Telecom</t>
        </is>
      </c>
      <c r="C60" s="10" t="inlineStr">
        <is>
          <t>Abdullah bin Fahad Al-Fares</t>
        </is>
      </c>
      <c r="D60" s="10" t="inlineStr">
        <is>
          <t>Chairman</t>
        </is>
      </c>
      <c r="E60" s="10" t="inlineStr">
        <is>
          <t>Zain KSA</t>
        </is>
      </c>
      <c r="F60" s="10" t="inlineStr">
        <is>
          <t>Suudi Arabistan</t>
        </is>
      </c>
      <c r="G60" s="8" t="inlineStr">
        <is>
          <t>Orta (başkan)</t>
        </is>
      </c>
      <c r="H60" s="11">
        <f>HYPERLINK("https://www.linkedin.com/search/results/people/?keywords=Abdullah%20Al-Fares%20Zain%20KSA","LinkedIn'de bul")</f>
        <v/>
      </c>
      <c r="I60" s="11">
        <f>HYPERLINK("https://sa.zain.com","sa.zain.com")</f>
        <v/>
      </c>
      <c r="J60" s="10" t="inlineStr"/>
      <c r="K60" s="11">
        <f>HYPERLINK("https://sa.zain.com/en/investors/leadership-team","Kaynak")</f>
        <v/>
      </c>
    </row>
    <row r="61" ht="30" customHeight="1">
      <c r="A61" s="8" t="n">
        <v>59</v>
      </c>
      <c r="B61" s="10" t="inlineStr">
        <is>
          <t>Telecom</t>
        </is>
      </c>
      <c r="C61" s="10" t="inlineStr">
        <is>
          <t>Saad bin Abdulrahman AlSadhan</t>
        </is>
      </c>
      <c r="D61" s="10" t="inlineStr">
        <is>
          <t>CEO</t>
        </is>
      </c>
      <c r="E61" s="10" t="inlineStr">
        <is>
          <t>Zain KSA</t>
        </is>
      </c>
      <c r="F61" s="10" t="inlineStr">
        <is>
          <t>Suudi Arabistan</t>
        </is>
      </c>
      <c r="G61" s="15" t="inlineStr">
        <is>
          <t>Yüksek (profesyonel)</t>
        </is>
      </c>
      <c r="H61" s="11">
        <f>HYPERLINK("https://www.linkedin.com/search/results/people/?keywords=Saad%20AlSadhan%20Zain%20KSA","LinkedIn'de bul")</f>
        <v/>
      </c>
      <c r="I61" s="11">
        <f>HYPERLINK("https://sa.zain.com","sa.zain.com")</f>
        <v/>
      </c>
      <c r="J61" s="10" t="inlineStr"/>
      <c r="K61" s="11">
        <f>HYPERLINK("https://sa.zain.com/en/all-news/zain-ksa-appoints-eng-saad-bin-abdulrahman-alsadhan-chief-executive-officer","Kaynak")</f>
        <v/>
      </c>
    </row>
    <row r="62" ht="30" customHeight="1">
      <c r="A62" s="8" t="n">
        <v>60</v>
      </c>
      <c r="B62" s="10" t="inlineStr">
        <is>
          <t>Food &amp; Beverage</t>
        </is>
      </c>
      <c r="C62" s="10" t="inlineStr">
        <is>
          <t>Fawaz Aljasser</t>
        </is>
      </c>
      <c r="D62" s="10" t="inlineStr">
        <is>
          <t>CEO</t>
        </is>
      </c>
      <c r="E62" s="10" t="inlineStr">
        <is>
          <t>Almarai</t>
        </is>
      </c>
      <c r="F62" s="10" t="inlineStr">
        <is>
          <t>Suudi Arabistan</t>
        </is>
      </c>
      <c r="G62" s="15" t="inlineStr">
        <is>
          <t>Yüksek (profesyonel)</t>
        </is>
      </c>
      <c r="H62" s="11">
        <f>HYPERLINK("https://www.linkedin.com/search/results/people/?keywords=Fawaz%20Aljasser%20Almarai","LinkedIn'de bul")</f>
        <v/>
      </c>
      <c r="I62" s="11">
        <f>HYPERLINK("https://www.almarai.com","almarai.com")</f>
        <v/>
      </c>
      <c r="J62" s="10" t="inlineStr"/>
      <c r="K62" s="11">
        <f>HYPERLINK("https://www.almarai.com/en/corporate/about-almarai/senior-management","Kaynak")</f>
        <v/>
      </c>
    </row>
    <row r="63" ht="30" customHeight="1">
      <c r="A63" s="8" t="n">
        <v>61</v>
      </c>
      <c r="B63" s="10" t="inlineStr">
        <is>
          <t>Food &amp; Beverage</t>
        </is>
      </c>
      <c r="C63" s="10" t="inlineStr">
        <is>
          <t>Danko Maras</t>
        </is>
      </c>
      <c r="D63" s="10" t="inlineStr">
        <is>
          <t>CFO</t>
        </is>
      </c>
      <c r="E63" s="10" t="inlineStr">
        <is>
          <t>Almarai</t>
        </is>
      </c>
      <c r="F63" s="10" t="inlineStr">
        <is>
          <t>Suudi Arabistan</t>
        </is>
      </c>
      <c r="G63" s="15" t="inlineStr">
        <is>
          <t>Yüksek (profesyonel)</t>
        </is>
      </c>
      <c r="H63" s="11">
        <f>HYPERLINK("https://www.linkedin.com/search/results/people/?keywords=Danko%20Maras%20Almarai","LinkedIn'de bul")</f>
        <v/>
      </c>
      <c r="I63" s="11">
        <f>HYPERLINK("https://www.almarai.com","almarai.com")</f>
        <v/>
      </c>
      <c r="J63" s="10" t="inlineStr"/>
      <c r="K63" s="11">
        <f>HYPERLINK("https://annualreport.almarai.com/governance/executive-management/","Kaynak")</f>
        <v/>
      </c>
    </row>
    <row r="64" ht="30" customHeight="1">
      <c r="A64" s="8" t="n">
        <v>62</v>
      </c>
      <c r="B64" s="10" t="inlineStr">
        <is>
          <t>Food &amp; Beverage</t>
        </is>
      </c>
      <c r="C64" s="10" t="inlineStr">
        <is>
          <t>Sameh Mahmoud Hassan</t>
        </is>
      </c>
      <c r="D64" s="10" t="inlineStr">
        <is>
          <t>Group CEO</t>
        </is>
      </c>
      <c r="E64" s="10" t="inlineStr">
        <is>
          <t>Savola Group</t>
        </is>
      </c>
      <c r="F64" s="10" t="inlineStr">
        <is>
          <t>Suudi Arabistan</t>
        </is>
      </c>
      <c r="G64" s="15" t="inlineStr">
        <is>
          <t>Yüksek (profesyonel)</t>
        </is>
      </c>
      <c r="H64" s="11">
        <f>HYPERLINK("https://www.linkedin.com/search/results/people/?keywords=Sameh%20Hassan%20Savola","LinkedIn'de bul")</f>
        <v/>
      </c>
      <c r="I64" s="11">
        <f>HYPERLINK("https://www.savola.com","savola.com")</f>
        <v/>
      </c>
      <c r="J64" s="10" t="inlineStr"/>
      <c r="K64" s="11">
        <f>HYPERLINK("https://www.savola.com/en/about-us/leadership-team","Kaynak")</f>
        <v/>
      </c>
    </row>
    <row r="65" ht="30" customHeight="1">
      <c r="A65" s="8" t="n">
        <v>63</v>
      </c>
      <c r="B65" s="10" t="inlineStr">
        <is>
          <t>Food &amp; Beverage</t>
        </is>
      </c>
      <c r="C65" s="10" t="inlineStr">
        <is>
          <t>Wajid Usman Khan</t>
        </is>
      </c>
      <c r="D65" s="10" t="inlineStr">
        <is>
          <t>CFO</t>
        </is>
      </c>
      <c r="E65" s="10" t="inlineStr">
        <is>
          <t>Savola Group</t>
        </is>
      </c>
      <c r="F65" s="10" t="inlineStr">
        <is>
          <t>Suudi Arabistan</t>
        </is>
      </c>
      <c r="G65" s="15" t="inlineStr">
        <is>
          <t>Yüksek (profesyonel)</t>
        </is>
      </c>
      <c r="H65" s="11">
        <f>HYPERLINK("https://www.linkedin.com/search/results/people/?keywords=Wajid%20Usman%20Khan%20Savola","LinkedIn'de bul")</f>
        <v/>
      </c>
      <c r="I65" s="11">
        <f>HYPERLINK("https://www.savola.com","savola.com")</f>
        <v/>
      </c>
      <c r="J65" s="10" t="inlineStr"/>
      <c r="K65" s="11">
        <f>HYPERLINK("https://www.savola.com/en/about-us/leadership-team","Kaynak")</f>
        <v/>
      </c>
    </row>
    <row r="66" ht="30" customHeight="1">
      <c r="A66" s="8" t="n">
        <v>64</v>
      </c>
      <c r="B66" s="10" t="inlineStr">
        <is>
          <t>Retail</t>
        </is>
      </c>
      <c r="C66" s="10" t="inlineStr">
        <is>
          <t>Muhammad bin Abdulrahman Al-Agil</t>
        </is>
      </c>
      <c r="D66" s="10" t="inlineStr">
        <is>
          <t>Chairman</t>
        </is>
      </c>
      <c r="E66" s="10" t="inlineStr">
        <is>
          <t>Jarir Marketing</t>
        </is>
      </c>
      <c r="F66" s="10" t="inlineStr">
        <is>
          <t>Suudi Arabistan</t>
        </is>
      </c>
      <c r="G66" s="8" t="inlineStr">
        <is>
          <t>Orta (başkan)</t>
        </is>
      </c>
      <c r="H66" s="11">
        <f>HYPERLINK("https://www.linkedin.com/search/results/people/?keywords=Muhammad%20Al-Agil%20Jarir","LinkedIn'de bul")</f>
        <v/>
      </c>
      <c r="I66" s="11">
        <f>HYPERLINK("https://www.jarir.com","jarir.com")</f>
        <v/>
      </c>
      <c r="J66" s="10" t="inlineStr"/>
      <c r="K66" s="11">
        <f>HYPERLINK("https://www.jarir.com/sa-en/about-jarir/board-of-directors","Kaynak")</f>
        <v/>
      </c>
    </row>
    <row r="67" ht="30" customHeight="1">
      <c r="A67" s="8" t="n">
        <v>65</v>
      </c>
      <c r="B67" s="10" t="inlineStr">
        <is>
          <t>Retail</t>
        </is>
      </c>
      <c r="C67" s="10" t="inlineStr">
        <is>
          <t>Abdulkarim bin Abdulrahman Al-Agil</t>
        </is>
      </c>
      <c r="D67" s="10" t="inlineStr">
        <is>
          <t>CEO &amp; Vice Chairman</t>
        </is>
      </c>
      <c r="E67" s="10" t="inlineStr">
        <is>
          <t>Jarir Marketing</t>
        </is>
      </c>
      <c r="F67" s="10" t="inlineStr">
        <is>
          <t>Suudi Arabistan</t>
        </is>
      </c>
      <c r="G67" s="15" t="inlineStr">
        <is>
          <t>Yüksek (profesyonel)</t>
        </is>
      </c>
      <c r="H67" s="11">
        <f>HYPERLINK("https://www.linkedin.com/search/results/people/?keywords=Abdulkarim%20Al-Agil%20Jarir","LinkedIn'de bul")</f>
        <v/>
      </c>
      <c r="I67" s="11">
        <f>HYPERLINK("https://www.jarir.com","jarir.com")</f>
        <v/>
      </c>
      <c r="J67" s="10" t="inlineStr"/>
      <c r="K67" s="11">
        <f>HYPERLINK("https://www.jarir.com/sa-en/about-jarir/board-of-directors","Kaynak")</f>
        <v/>
      </c>
    </row>
    <row r="68" ht="30" customHeight="1">
      <c r="A68" s="8" t="n">
        <v>66</v>
      </c>
      <c r="B68" s="10" t="inlineStr">
        <is>
          <t>Retail</t>
        </is>
      </c>
      <c r="C68" s="10" t="inlineStr">
        <is>
          <t>Muaffag Abdullah Mubarah</t>
        </is>
      </c>
      <c r="D68" s="10" t="inlineStr">
        <is>
          <t>CEO</t>
        </is>
      </c>
      <c r="E68" s="10" t="inlineStr">
        <is>
          <t>Abdullah Al Othaim Markets</t>
        </is>
      </c>
      <c r="F68" s="10" t="inlineStr">
        <is>
          <t>Suudi Arabistan</t>
        </is>
      </c>
      <c r="G68" s="15" t="inlineStr">
        <is>
          <t>Yüksek (profesyonel)</t>
        </is>
      </c>
      <c r="H68" s="11">
        <f>HYPERLINK("https://www.linkedin.com/search/results/people/?keywords=Muaffag%20Mubarah%20Al%20Othaim","LinkedIn'de bul")</f>
        <v/>
      </c>
      <c r="I68" s="11">
        <f>HYPERLINK("https://www.othaimmarkets.com","othaimmarkets.com")</f>
        <v/>
      </c>
      <c r="J68" s="10" t="inlineStr"/>
      <c r="K68" s="11">
        <f>HYPERLINK("https://www.marketscreener.com/quote/stock/ABDULLAH-AL-OTHAIM-MARKET-6500858/company-governance/","Kaynak")</f>
        <v/>
      </c>
    </row>
    <row r="69" ht="30" customHeight="1">
      <c r="A69" s="8" t="n">
        <v>67</v>
      </c>
      <c r="B69" s="10" t="inlineStr">
        <is>
          <t>Healthcare</t>
        </is>
      </c>
      <c r="C69" s="10" t="inlineStr">
        <is>
          <t>Saleh Salem Bin Mahfouz</t>
        </is>
      </c>
      <c r="D69" s="10" t="inlineStr">
        <is>
          <t>Chairman</t>
        </is>
      </c>
      <c r="E69" s="10" t="inlineStr">
        <is>
          <t>Nahdi Medical</t>
        </is>
      </c>
      <c r="F69" s="10" t="inlineStr">
        <is>
          <t>Suudi Arabistan</t>
        </is>
      </c>
      <c r="G69" s="8" t="inlineStr">
        <is>
          <t>Orta (başkan)</t>
        </is>
      </c>
      <c r="H69" s="11">
        <f>HYPERLINK("https://www.linkedin.com/search/results/people/?keywords=Saleh%20Bin%20Mahfouz%20Nahdi","LinkedIn'de bul")</f>
        <v/>
      </c>
      <c r="I69" s="11">
        <f>HYPERLINK("https://nahdi.sa","nahdi.sa")</f>
        <v/>
      </c>
      <c r="J69" s="10" t="inlineStr"/>
      <c r="K69" s="11">
        <f>HYPERLINK("https://investors.nahdi.sa/en/governance/","Kaynak")</f>
        <v/>
      </c>
    </row>
    <row r="70" ht="30" customHeight="1">
      <c r="A70" s="8" t="n">
        <v>68</v>
      </c>
      <c r="B70" s="10" t="inlineStr">
        <is>
          <t>Healthcare</t>
        </is>
      </c>
      <c r="C70" s="10" t="inlineStr">
        <is>
          <t>Yasser Joharji</t>
        </is>
      </c>
      <c r="D70" s="10" t="inlineStr">
        <is>
          <t>CEO</t>
        </is>
      </c>
      <c r="E70" s="10" t="inlineStr">
        <is>
          <t>Nahdi Medical</t>
        </is>
      </c>
      <c r="F70" s="10" t="inlineStr">
        <is>
          <t>Suudi Arabistan</t>
        </is>
      </c>
      <c r="G70" s="15" t="inlineStr">
        <is>
          <t>Yüksek (profesyonel)</t>
        </is>
      </c>
      <c r="H70" s="11">
        <f>HYPERLINK("https://sa.linkedin.com/in/yasser-joharji-59b20b15","LinkedIn profili")</f>
        <v/>
      </c>
      <c r="I70" s="11">
        <f>HYPERLINK("https://nahdi.sa","nahdi.sa")</f>
        <v/>
      </c>
      <c r="J70" s="10" t="inlineStr"/>
      <c r="K70" s="11">
        <f>HYPERLINK("https://nahdi.sa/about-nahdi/executive-team/","Kaynak")</f>
        <v/>
      </c>
    </row>
    <row r="71" ht="30" customHeight="1">
      <c r="A71" s="8" t="n">
        <v>69</v>
      </c>
      <c r="B71" s="10" t="inlineStr">
        <is>
          <t>Healthcare</t>
        </is>
      </c>
      <c r="C71" s="10" t="inlineStr">
        <is>
          <t>Mohammed Al-Khubani</t>
        </is>
      </c>
      <c r="D71" s="10" t="inlineStr">
        <is>
          <t>CFO</t>
        </is>
      </c>
      <c r="E71" s="10" t="inlineStr">
        <is>
          <t>Nahdi Medical</t>
        </is>
      </c>
      <c r="F71" s="10" t="inlineStr">
        <is>
          <t>Suudi Arabistan</t>
        </is>
      </c>
      <c r="G71" s="15" t="inlineStr">
        <is>
          <t>Yüksek (profesyonel)</t>
        </is>
      </c>
      <c r="H71" s="11">
        <f>HYPERLINK("https://www.linkedin.com/search/results/people/?keywords=Mohammed%20Al-Khubani%20Nahdi","LinkedIn'de bul")</f>
        <v/>
      </c>
      <c r="I71" s="11">
        <f>HYPERLINK("https://nahdi.sa","nahdi.sa")</f>
        <v/>
      </c>
      <c r="J71" s="10" t="inlineStr"/>
      <c r="K71" s="11">
        <f>HYPERLINK("https://investors.nahdi.sa/en/governance/","Kaynak")</f>
        <v/>
      </c>
    </row>
    <row r="72" ht="30" customHeight="1">
      <c r="A72" s="8" t="n">
        <v>70</v>
      </c>
      <c r="B72" s="10" t="inlineStr">
        <is>
          <t>Healthcare</t>
        </is>
      </c>
      <c r="C72" s="10" t="inlineStr">
        <is>
          <t>Faisal Abdullah Al Nassar</t>
        </is>
      </c>
      <c r="D72" s="10" t="inlineStr">
        <is>
          <t>Group CEO &amp; CFO</t>
        </is>
      </c>
      <c r="E72" s="10" t="inlineStr">
        <is>
          <t>Dr Sulaiman Al Habib (HMG)</t>
        </is>
      </c>
      <c r="F72" s="10" t="inlineStr">
        <is>
          <t>Suudi Arabistan</t>
        </is>
      </c>
      <c r="G72" s="15" t="inlineStr">
        <is>
          <t>Yüksek (profesyonel)</t>
        </is>
      </c>
      <c r="H72" s="11">
        <f>HYPERLINK("https://www.linkedin.com/search/results/people/?keywords=Faisal%20Al%20Nassar%20Al%20Habib%20Medical","LinkedIn'de bul")</f>
        <v/>
      </c>
      <c r="I72" s="11">
        <f>HYPERLINK("https://hmg.com","hmg.com")</f>
        <v/>
      </c>
      <c r="J72" s="10" t="inlineStr"/>
      <c r="K72" s="11">
        <f>HYPERLINK("https://www.argaam.com/en/article/articledetail/id/1675221","Kaynak")</f>
        <v/>
      </c>
    </row>
    <row r="73" ht="30" customHeight="1">
      <c r="A73" s="8" t="n">
        <v>71</v>
      </c>
      <c r="B73" s="10" t="inlineStr">
        <is>
          <t>Food &amp; Beverage</t>
        </is>
      </c>
      <c r="C73" s="10" t="inlineStr">
        <is>
          <t>Patrick Othmar Stillhart</t>
        </is>
      </c>
      <c r="D73" s="10" t="inlineStr">
        <is>
          <t>CEO</t>
        </is>
      </c>
      <c r="E73" s="10" t="inlineStr">
        <is>
          <t>SADAFCO</t>
        </is>
      </c>
      <c r="F73" s="10" t="inlineStr">
        <is>
          <t>Suudi Arabistan</t>
        </is>
      </c>
      <c r="G73" s="15" t="inlineStr">
        <is>
          <t>Yüksek (profesyonel)</t>
        </is>
      </c>
      <c r="H73" s="11">
        <f>HYPERLINK("https://www.linkedin.com/search/results/people/?keywords=Patrick%20Stillhart%20SADAFCO","LinkedIn'de bul")</f>
        <v/>
      </c>
      <c r="I73" s="11">
        <f>HYPERLINK("https://www.sadafco.com","sadafco.com")</f>
        <v/>
      </c>
      <c r="J73" s="10" t="inlineStr"/>
      <c r="K73" s="11">
        <f>HYPERLINK("https://www.sadafco.com/about-us/the-board/","Kaynak")</f>
        <v/>
      </c>
    </row>
    <row r="74" ht="30" customHeight="1">
      <c r="A74" s="8" t="n">
        <v>72</v>
      </c>
      <c r="B74" s="10" t="inlineStr">
        <is>
          <t>Food &amp; Beverage</t>
        </is>
      </c>
      <c r="C74" s="10" t="inlineStr">
        <is>
          <t>Glen Kelly</t>
        </is>
      </c>
      <c r="D74" s="10" t="inlineStr">
        <is>
          <t>CFO</t>
        </is>
      </c>
      <c r="E74" s="10" t="inlineStr">
        <is>
          <t>SADAFCO</t>
        </is>
      </c>
      <c r="F74" s="10" t="inlineStr">
        <is>
          <t>Suudi Arabistan</t>
        </is>
      </c>
      <c r="G74" s="15" t="inlineStr">
        <is>
          <t>Yüksek (profesyonel)</t>
        </is>
      </c>
      <c r="H74" s="11">
        <f>HYPERLINK("https://www.linkedin.com/search/results/people/?keywords=Glen%20Kelly%20SADAFCO","LinkedIn'de bul")</f>
        <v/>
      </c>
      <c r="I74" s="11">
        <f>HYPERLINK("https://www.sadafco.com","sadafco.com")</f>
        <v/>
      </c>
      <c r="J74" s="10" t="inlineStr"/>
      <c r="K74" s="11">
        <f>HYPERLINK("https://www.sadafco.com/about-us/the-board/","Kaynak")</f>
        <v/>
      </c>
    </row>
    <row r="75" ht="30" customHeight="1">
      <c r="A75" s="8" t="n">
        <v>73</v>
      </c>
      <c r="B75" s="10" t="inlineStr">
        <is>
          <t>Banking</t>
        </is>
      </c>
      <c r="C75" s="10" t="inlineStr">
        <is>
          <t>Sheikh Tahnoon bin Zayed Al Nahyan</t>
        </is>
      </c>
      <c r="D75" s="10" t="inlineStr">
        <is>
          <t>Chairman</t>
        </is>
      </c>
      <c r="E75" s="10" t="inlineStr">
        <is>
          <t>First Abu Dhabi Bank (FAB)</t>
        </is>
      </c>
      <c r="F75" s="10" t="inlineStr">
        <is>
          <t>BAE</t>
        </is>
      </c>
      <c r="G75" s="8" t="inlineStr">
        <is>
          <t>Düşük (royal/sahip)</t>
        </is>
      </c>
      <c r="H75" s="11">
        <f>HYPERLINK("https://www.linkedin.com/search/results/people/?keywords=Tahnoon%20bin%20Zayed%20Al%20Nahyan%20First%20Abu%20Dhabi%20Bank","LinkedIn'de bul")</f>
        <v/>
      </c>
      <c r="I75" s="11">
        <f>HYPERLINK("https://www.bankfab.com","bankfab.com")</f>
        <v/>
      </c>
      <c r="J75" s="10" t="inlineStr"/>
      <c r="K75" s="11">
        <f>HYPERLINK("https://www.bankfab.com/en-ae/about-fab/group/board-of-directors","Kaynak")</f>
        <v/>
      </c>
    </row>
    <row r="76" ht="30" customHeight="1">
      <c r="A76" s="8" t="n">
        <v>74</v>
      </c>
      <c r="B76" s="10" t="inlineStr">
        <is>
          <t>Banking</t>
        </is>
      </c>
      <c r="C76" s="10" t="inlineStr">
        <is>
          <t>Hana Al Rostamani</t>
        </is>
      </c>
      <c r="D76" s="10" t="inlineStr">
        <is>
          <t>Group CEO</t>
        </is>
      </c>
      <c r="E76" s="10" t="inlineStr">
        <is>
          <t>First Abu Dhabi Bank (FAB)</t>
        </is>
      </c>
      <c r="F76" s="10" t="inlineStr">
        <is>
          <t>BAE</t>
        </is>
      </c>
      <c r="G76" s="15" t="inlineStr">
        <is>
          <t>Yüksek (profesyonel)</t>
        </is>
      </c>
      <c r="H76" s="11">
        <f>HYPERLINK("https://www.linkedin.com/search/results/people/?keywords=Hana%20Al%20Rostamani%20First%20Abu%20Dhabi%20Bank","LinkedIn'de bul")</f>
        <v/>
      </c>
      <c r="I76" s="11">
        <f>HYPERLINK("https://www.bankfab.com","bankfab.com")</f>
        <v/>
      </c>
      <c r="J76" s="10" t="inlineStr"/>
      <c r="K76" s="11">
        <f>HYPERLINK("https://www.bankfab.com/en-ae/about-fab/group/senior-management","Kaynak")</f>
        <v/>
      </c>
    </row>
    <row r="77" ht="30" customHeight="1">
      <c r="A77" s="8" t="n">
        <v>75</v>
      </c>
      <c r="B77" s="10" t="inlineStr">
        <is>
          <t>Banking</t>
        </is>
      </c>
      <c r="C77" s="10" t="inlineStr">
        <is>
          <t>Lars Kramer</t>
        </is>
      </c>
      <c r="D77" s="10" t="inlineStr">
        <is>
          <t>Group CFO</t>
        </is>
      </c>
      <c r="E77" s="10" t="inlineStr">
        <is>
          <t>First Abu Dhabi Bank (FAB)</t>
        </is>
      </c>
      <c r="F77" s="10" t="inlineStr">
        <is>
          <t>BAE</t>
        </is>
      </c>
      <c r="G77" s="15" t="inlineStr">
        <is>
          <t>Yüksek (profesyonel)</t>
        </is>
      </c>
      <c r="H77" s="11">
        <f>HYPERLINK("https://www.linkedin.com/search/results/people/?keywords=Lars%20Kramer%20First%20Abu%20Dhabi%20Bank","LinkedIn'de bul")</f>
        <v/>
      </c>
      <c r="I77" s="11">
        <f>HYPERLINK("https://www.bankfab.com","bankfab.com")</f>
        <v/>
      </c>
      <c r="J77" s="10" t="inlineStr"/>
      <c r="K77" s="11">
        <f>HYPERLINK("https://www.bankfab.com/en-ae/about-fab/group/senior-management","Kaynak")</f>
        <v/>
      </c>
    </row>
    <row r="78" ht="30" customHeight="1">
      <c r="A78" s="8" t="n">
        <v>76</v>
      </c>
      <c r="B78" s="10" t="inlineStr">
        <is>
          <t>Banking</t>
        </is>
      </c>
      <c r="C78" s="10" t="inlineStr">
        <is>
          <t>Sheikh Ahmed bin Saeed Al Maktoum</t>
        </is>
      </c>
      <c r="D78" s="10" t="inlineStr">
        <is>
          <t>Chairman</t>
        </is>
      </c>
      <c r="E78" s="10" t="inlineStr">
        <is>
          <t>Emirates NBD</t>
        </is>
      </c>
      <c r="F78" s="10" t="inlineStr">
        <is>
          <t>BAE</t>
        </is>
      </c>
      <c r="G78" s="8" t="inlineStr">
        <is>
          <t>Düşük (royal/sahip)</t>
        </is>
      </c>
      <c r="H78" s="11">
        <f>HYPERLINK("https://www.linkedin.com/search/results/people/?keywords=Ahmed%20bin%20Saeed%20Al%20Maktoum%20Emirates%20NBD","LinkedIn'de bul")</f>
        <v/>
      </c>
      <c r="I78" s="11">
        <f>HYPERLINK("https://www.emiratesnbd.com","emiratesnbd.com")</f>
        <v/>
      </c>
      <c r="J78" s="10" t="inlineStr"/>
      <c r="K78" s="11">
        <f>HYPERLINK("https://www.emiratesnbd.com/en/about-emirates-nbd/corporate-governance/board-of-directors","Kaynak")</f>
        <v/>
      </c>
    </row>
    <row r="79" ht="30" customHeight="1">
      <c r="A79" s="8" t="n">
        <v>77</v>
      </c>
      <c r="B79" s="10" t="inlineStr">
        <is>
          <t>Banking</t>
        </is>
      </c>
      <c r="C79" s="10" t="inlineStr">
        <is>
          <t>Shayne Nelson</t>
        </is>
      </c>
      <c r="D79" s="10" t="inlineStr">
        <is>
          <t>Group CEO</t>
        </is>
      </c>
      <c r="E79" s="10" t="inlineStr">
        <is>
          <t>Emirates NBD</t>
        </is>
      </c>
      <c r="F79" s="10" t="inlineStr">
        <is>
          <t>BAE</t>
        </is>
      </c>
      <c r="G79" s="15" t="inlineStr">
        <is>
          <t>Yüksek (profesyonel)</t>
        </is>
      </c>
      <c r="H79" s="11">
        <f>HYPERLINK("https://www.linkedin.com/search/results/people/?keywords=Shayne%20Nelson%20Emirates%20NBD","LinkedIn'de bul")</f>
        <v/>
      </c>
      <c r="I79" s="11">
        <f>HYPERLINK("https://www.emiratesnbd.com","emiratesnbd.com")</f>
        <v/>
      </c>
      <c r="J79" s="10" t="inlineStr"/>
      <c r="K79" s="11">
        <f>HYPERLINK("https://www.emiratesnbd.com/en/about-emirates-nbd/corporate-governance/management-team/shaynenelson","Kaynak")</f>
        <v/>
      </c>
    </row>
    <row r="80" ht="30" customHeight="1">
      <c r="A80" s="8" t="n">
        <v>78</v>
      </c>
      <c r="B80" s="10" t="inlineStr">
        <is>
          <t>Banking</t>
        </is>
      </c>
      <c r="C80" s="10" t="inlineStr">
        <is>
          <t>Patrick Sullivan</t>
        </is>
      </c>
      <c r="D80" s="10" t="inlineStr">
        <is>
          <t>Group CFO</t>
        </is>
      </c>
      <c r="E80" s="10" t="inlineStr">
        <is>
          <t>Emirates NBD</t>
        </is>
      </c>
      <c r="F80" s="10" t="inlineStr">
        <is>
          <t>BAE</t>
        </is>
      </c>
      <c r="G80" s="15" t="inlineStr">
        <is>
          <t>Yüksek (profesyonel)</t>
        </is>
      </c>
      <c r="H80" s="11">
        <f>HYPERLINK("https://www.linkedin.com/search/results/people/?keywords=Patrick%20Sullivan%20Emirates%20NBD","LinkedIn'de bul")</f>
        <v/>
      </c>
      <c r="I80" s="11">
        <f>HYPERLINK("https://www.emiratesnbd.com","emiratesnbd.com")</f>
        <v/>
      </c>
      <c r="J80" s="10" t="inlineStr"/>
      <c r="K80" s="11">
        <f>HYPERLINK("https://www.emiratesnbd.com/en/about-emirates-nbd/corporate-governance/management-team","Kaynak")</f>
        <v/>
      </c>
    </row>
    <row r="81" ht="30" customHeight="1">
      <c r="A81" s="8" t="n">
        <v>79</v>
      </c>
      <c r="B81" s="10" t="inlineStr">
        <is>
          <t>Banking</t>
        </is>
      </c>
      <c r="C81" s="10" t="inlineStr">
        <is>
          <t>Khaldoon Khalifa Al Mubarak</t>
        </is>
      </c>
      <c r="D81" s="10" t="inlineStr">
        <is>
          <t>Chairman</t>
        </is>
      </c>
      <c r="E81" s="10" t="inlineStr">
        <is>
          <t>Abu Dhabi Commercial Bank (ADCB)</t>
        </is>
      </c>
      <c r="F81" s="10" t="inlineStr">
        <is>
          <t>BAE</t>
        </is>
      </c>
      <c r="G81" s="8" t="inlineStr">
        <is>
          <t>Orta (başkan)</t>
        </is>
      </c>
      <c r="H81" s="11">
        <f>HYPERLINK("https://www.linkedin.com/search/results/people/?keywords=Khaldoon%20Al%20Mubarak%20ADCB","LinkedIn'de bul")</f>
        <v/>
      </c>
      <c r="I81" s="11">
        <f>HYPERLINK("https://www.adcb.com","adcb.com")</f>
        <v/>
      </c>
      <c r="J81" s="10" t="inlineStr"/>
      <c r="K81" s="11">
        <f>HYPERLINK("https://www.adcb.com/en/about-us/corporate-governance/executive-management/","Kaynak")</f>
        <v/>
      </c>
    </row>
    <row r="82" ht="30" customHeight="1">
      <c r="A82" s="8" t="n">
        <v>80</v>
      </c>
      <c r="B82" s="10" t="inlineStr">
        <is>
          <t>Banking</t>
        </is>
      </c>
      <c r="C82" s="10" t="inlineStr">
        <is>
          <t>Ala'a Eraiqat</t>
        </is>
      </c>
      <c r="D82" s="10" t="inlineStr">
        <is>
          <t>Group CEO</t>
        </is>
      </c>
      <c r="E82" s="10" t="inlineStr">
        <is>
          <t>Abu Dhabi Commercial Bank (ADCB)</t>
        </is>
      </c>
      <c r="F82" s="10" t="inlineStr">
        <is>
          <t>BAE</t>
        </is>
      </c>
      <c r="G82" s="15" t="inlineStr">
        <is>
          <t>Yüksek (profesyonel)</t>
        </is>
      </c>
      <c r="H82" s="11">
        <f>HYPERLINK("https://www.linkedin.com/search/results/people/?keywords=Alaa%20Eraiqat%20ADCB","LinkedIn'de bul")</f>
        <v/>
      </c>
      <c r="I82" s="11">
        <f>HYPERLINK("https://www.adcb.com","adcb.com")</f>
        <v/>
      </c>
      <c r="J82" s="10" t="inlineStr"/>
      <c r="K82" s="11">
        <f>HYPERLINK("https://www.adcb.com/en/about-us/corporate-governance/executive-management/","Kaynak")</f>
        <v/>
      </c>
    </row>
    <row r="83" ht="30" customHeight="1">
      <c r="A83" s="8" t="n">
        <v>81</v>
      </c>
      <c r="B83" s="10" t="inlineStr">
        <is>
          <t>Banking</t>
        </is>
      </c>
      <c r="C83" s="10" t="inlineStr">
        <is>
          <t>Deepak Khullar</t>
        </is>
      </c>
      <c r="D83" s="10" t="inlineStr">
        <is>
          <t>Group CFO</t>
        </is>
      </c>
      <c r="E83" s="10" t="inlineStr">
        <is>
          <t>Abu Dhabi Commercial Bank (ADCB)</t>
        </is>
      </c>
      <c r="F83" s="10" t="inlineStr">
        <is>
          <t>BAE</t>
        </is>
      </c>
      <c r="G83" s="15" t="inlineStr">
        <is>
          <t>Yüksek (profesyonel)</t>
        </is>
      </c>
      <c r="H83" s="11">
        <f>HYPERLINK("https://www.linkedin.com/search/results/people/?keywords=Deepak%20Khullar%20ADCB","LinkedIn'de bul")</f>
        <v/>
      </c>
      <c r="I83" s="11">
        <f>HYPERLINK("https://www.adcb.com","adcb.com")</f>
        <v/>
      </c>
      <c r="J83" s="10" t="inlineStr"/>
      <c r="K83" s="11">
        <f>HYPERLINK("https://www.adcb.com/en/about-us/corporate-governance/executive-management/","Kaynak")</f>
        <v/>
      </c>
    </row>
    <row r="84" ht="30" customHeight="1">
      <c r="A84" s="8" t="n">
        <v>82</v>
      </c>
      <c r="B84" s="10" t="inlineStr">
        <is>
          <t>Islamic Banking</t>
        </is>
      </c>
      <c r="C84" s="10" t="inlineStr">
        <is>
          <t>Mohammed Ibrahim Al Shaibani</t>
        </is>
      </c>
      <c r="D84" s="10" t="inlineStr">
        <is>
          <t>Chairman</t>
        </is>
      </c>
      <c r="E84" s="10" t="inlineStr">
        <is>
          <t>Dubai Islamic Bank</t>
        </is>
      </c>
      <c r="F84" s="10" t="inlineStr">
        <is>
          <t>BAE</t>
        </is>
      </c>
      <c r="G84" s="8" t="inlineStr">
        <is>
          <t>Orta (başkan)</t>
        </is>
      </c>
      <c r="H84" s="11">
        <f>HYPERLINK("https://www.linkedin.com/search/results/people/?keywords=Mohammed%20Al%20Shaibani%20Dubai%20Islamic%20Bank","LinkedIn'de bul")</f>
        <v/>
      </c>
      <c r="I84" s="11">
        <f>HYPERLINK("https://www.dib.ae","dib.ae")</f>
        <v/>
      </c>
      <c r="J84" s="10" t="inlineStr"/>
      <c r="K84" s="11">
        <f>HYPERLINK("https://www.dib.ae/about-us/leadership-team/board-of-directors","Kaynak")</f>
        <v/>
      </c>
    </row>
    <row r="85" ht="30" customHeight="1">
      <c r="A85" s="8" t="n">
        <v>83</v>
      </c>
      <c r="B85" s="10" t="inlineStr">
        <is>
          <t>Islamic Banking</t>
        </is>
      </c>
      <c r="C85" s="10" t="inlineStr">
        <is>
          <t>Dr. Adnan Chilwan</t>
        </is>
      </c>
      <c r="D85" s="10" t="inlineStr">
        <is>
          <t>Group CEO</t>
        </is>
      </c>
      <c r="E85" s="10" t="inlineStr">
        <is>
          <t>Dubai Islamic Bank</t>
        </is>
      </c>
      <c r="F85" s="10" t="inlineStr">
        <is>
          <t>BAE</t>
        </is>
      </c>
      <c r="G85" s="15" t="inlineStr">
        <is>
          <t>Yüksek (profesyonel)</t>
        </is>
      </c>
      <c r="H85" s="11">
        <f>HYPERLINK("https://www.linkedin.com/search/results/people/?keywords=Adnan%20Chilwan%20Dubai%20Islamic%20Bank","LinkedIn'de bul")</f>
        <v/>
      </c>
      <c r="I85" s="11">
        <f>HYPERLINK("https://www.dib.ae","dib.ae")</f>
        <v/>
      </c>
      <c r="J85" s="10" t="inlineStr"/>
      <c r="K85" s="11">
        <f>HYPERLINK("https://www.dib.ae/about-us/gceo","Kaynak")</f>
        <v/>
      </c>
    </row>
    <row r="86" ht="30" customHeight="1">
      <c r="A86" s="8" t="n">
        <v>84</v>
      </c>
      <c r="B86" s="10" t="inlineStr">
        <is>
          <t>Islamic Banking</t>
        </is>
      </c>
      <c r="C86" s="10" t="inlineStr">
        <is>
          <t>John Macedo</t>
        </is>
      </c>
      <c r="D86" s="10" t="inlineStr">
        <is>
          <t>Group CFO</t>
        </is>
      </c>
      <c r="E86" s="10" t="inlineStr">
        <is>
          <t>Dubai Islamic Bank</t>
        </is>
      </c>
      <c r="F86" s="10" t="inlineStr">
        <is>
          <t>BAE</t>
        </is>
      </c>
      <c r="G86" s="15" t="inlineStr">
        <is>
          <t>Yüksek (profesyonel)</t>
        </is>
      </c>
      <c r="H86" s="11">
        <f>HYPERLINK("https://www.linkedin.com/search/results/people/?keywords=John%20Macedo%20Dubai%20Islamic%20Bank","LinkedIn'de bul")</f>
        <v/>
      </c>
      <c r="I86" s="11">
        <f>HYPERLINK("https://www.dib.ae","dib.ae")</f>
        <v/>
      </c>
      <c r="J86" s="10" t="inlineStr"/>
      <c r="K86" s="11">
        <f>HYPERLINK("https://www.dib.ae/about-us/leadership-team/executive-management","Kaynak")</f>
        <v/>
      </c>
    </row>
    <row r="87" ht="30" customHeight="1">
      <c r="A87" s="8" t="n">
        <v>85</v>
      </c>
      <c r="B87" s="10" t="inlineStr">
        <is>
          <t>Islamic Banking</t>
        </is>
      </c>
      <c r="C87" s="10" t="inlineStr">
        <is>
          <t>Jawaan Awaidha Al Khaili</t>
        </is>
      </c>
      <c r="D87" s="10" t="inlineStr">
        <is>
          <t>Chairman</t>
        </is>
      </c>
      <c r="E87" s="10" t="inlineStr">
        <is>
          <t>Abu Dhabi Islamic Bank (ADIB)</t>
        </is>
      </c>
      <c r="F87" s="10" t="inlineStr">
        <is>
          <t>BAE</t>
        </is>
      </c>
      <c r="G87" s="8" t="inlineStr">
        <is>
          <t>Orta (başkan)</t>
        </is>
      </c>
      <c r="H87" s="11">
        <f>HYPERLINK("https://www.linkedin.com/search/results/people/?keywords=Jawaan%20Al%20Khaili%20ADIB","LinkedIn'de bul")</f>
        <v/>
      </c>
      <c r="I87" s="11">
        <f>HYPERLINK("https://www.adib.ae","adib.ae")</f>
        <v/>
      </c>
      <c r="J87" s="10" t="inlineStr"/>
      <c r="K87" s="11">
        <f>HYPERLINK("https://www.adib.ae/en/about/our-leadership","Kaynak")</f>
        <v/>
      </c>
    </row>
    <row r="88" ht="30" customHeight="1">
      <c r="A88" s="8" t="n">
        <v>86</v>
      </c>
      <c r="B88" s="10" t="inlineStr">
        <is>
          <t>Islamic Banking</t>
        </is>
      </c>
      <c r="C88" s="10" t="inlineStr">
        <is>
          <t>Mohamed Abdelbary</t>
        </is>
      </c>
      <c r="D88" s="10" t="inlineStr">
        <is>
          <t>Group CEO</t>
        </is>
      </c>
      <c r="E88" s="10" t="inlineStr">
        <is>
          <t>Abu Dhabi Islamic Bank (ADIB)</t>
        </is>
      </c>
      <c r="F88" s="10" t="inlineStr">
        <is>
          <t>BAE</t>
        </is>
      </c>
      <c r="G88" s="15" t="inlineStr">
        <is>
          <t>Yüksek (profesyonel)</t>
        </is>
      </c>
      <c r="H88" s="11">
        <f>HYPERLINK("https://www.linkedin.com/search/results/people/?keywords=Mohamed%20Abdelbary%20ADIB","LinkedIn'de bul")</f>
        <v/>
      </c>
      <c r="I88" s="11">
        <f>HYPERLINK("https://www.adib.ae","adib.ae")</f>
        <v/>
      </c>
      <c r="J88" s="10" t="inlineStr"/>
      <c r="K88" s="11">
        <f>HYPERLINK("https://www.adib.ae/en/news/2024/oct/adib-appoints-mohamed-abdelbary--as-group-chief","Kaynak")</f>
        <v/>
      </c>
    </row>
    <row r="89" ht="30" customHeight="1">
      <c r="A89" s="8" t="n">
        <v>87</v>
      </c>
      <c r="B89" s="10" t="inlineStr">
        <is>
          <t>Banking</t>
        </is>
      </c>
      <c r="C89" s="10" t="inlineStr">
        <is>
          <t>Abdulaziz Al Ghurair</t>
        </is>
      </c>
      <c r="D89" s="10" t="inlineStr">
        <is>
          <t>Chairman</t>
        </is>
      </c>
      <c r="E89" s="10" t="inlineStr">
        <is>
          <t>Mashreq Bank</t>
        </is>
      </c>
      <c r="F89" s="10" t="inlineStr">
        <is>
          <t>BAE</t>
        </is>
      </c>
      <c r="G89" s="8" t="inlineStr">
        <is>
          <t>Orta (başkan)</t>
        </is>
      </c>
      <c r="H89" s="11">
        <f>HYPERLINK("https://www.linkedin.com/search/results/people/?keywords=Abdulaziz%20Al%20Ghurair%20Mashreq","LinkedIn'de bul")</f>
        <v/>
      </c>
      <c r="I89" s="11">
        <f>HYPERLINK("https://www.mashreq.com","mashreq.com")</f>
        <v/>
      </c>
      <c r="J89" s="10" t="inlineStr"/>
      <c r="K89" s="11">
        <f>HYPERLINK("https://www.mashreqbank.com/uae/en/about-us/company-information/corporate-governance/mgmntteam","Kaynak")</f>
        <v/>
      </c>
    </row>
    <row r="90" ht="30" customHeight="1">
      <c r="A90" s="8" t="n">
        <v>88</v>
      </c>
      <c r="B90" s="10" t="inlineStr">
        <is>
          <t>Banking</t>
        </is>
      </c>
      <c r="C90" s="10" t="inlineStr">
        <is>
          <t>Ahmed Abdelaal</t>
        </is>
      </c>
      <c r="D90" s="10" t="inlineStr">
        <is>
          <t>Group CEO</t>
        </is>
      </c>
      <c r="E90" s="10" t="inlineStr">
        <is>
          <t>Mashreq Bank</t>
        </is>
      </c>
      <c r="F90" s="10" t="inlineStr">
        <is>
          <t>BAE</t>
        </is>
      </c>
      <c r="G90" s="15" t="inlineStr">
        <is>
          <t>Yüksek (profesyonel)</t>
        </is>
      </c>
      <c r="H90" s="11">
        <f>HYPERLINK("https://www.linkedin.com/search/results/people/?keywords=Ahmed%20Abdelaal%20Mashreq","LinkedIn'de bul")</f>
        <v/>
      </c>
      <c r="I90" s="11">
        <f>HYPERLINK("https://www.mashreq.com","mashreq.com")</f>
        <v/>
      </c>
      <c r="J90" s="10" t="inlineStr"/>
      <c r="K90" s="11">
        <f>HYPERLINK("https://www.mashreq.com/en/uae/about-us/our-company/corporate-governance/management-team/ahmed-abdelaal-ceo/","Kaynak")</f>
        <v/>
      </c>
    </row>
    <row r="91" ht="30" customHeight="1">
      <c r="A91" s="8" t="n">
        <v>89</v>
      </c>
      <c r="B91" s="10" t="inlineStr">
        <is>
          <t>Banking</t>
        </is>
      </c>
      <c r="C91" s="10" t="inlineStr">
        <is>
          <t>Norman Tambach</t>
        </is>
      </c>
      <c r="D91" s="10" t="inlineStr">
        <is>
          <t>Group CFO</t>
        </is>
      </c>
      <c r="E91" s="10" t="inlineStr">
        <is>
          <t>Mashreq Bank</t>
        </is>
      </c>
      <c r="F91" s="10" t="inlineStr">
        <is>
          <t>BAE</t>
        </is>
      </c>
      <c r="G91" s="15" t="inlineStr">
        <is>
          <t>Yüksek (profesyonel)</t>
        </is>
      </c>
      <c r="H91" s="11">
        <f>HYPERLINK("https://ae.linkedin.com/in/normantambach","LinkedIn profili")</f>
        <v/>
      </c>
      <c r="I91" s="11">
        <f>HYPERLINK("https://www.mashreq.com","mashreq.com")</f>
        <v/>
      </c>
      <c r="J91" s="10" t="inlineStr"/>
      <c r="K91" s="11">
        <f>HYPERLINK("https://www.mashreq.com/en/uae/about-us/our-company/corporate-governance/management-team/","Kaynak")</f>
        <v/>
      </c>
    </row>
    <row r="92" ht="30" customHeight="1">
      <c r="A92" s="8" t="n">
        <v>90</v>
      </c>
      <c r="B92" s="10" t="inlineStr">
        <is>
          <t>Islamic Banking</t>
        </is>
      </c>
      <c r="C92" s="10" t="inlineStr">
        <is>
          <t>Hesham Abdulla Al Qassim</t>
        </is>
      </c>
      <c r="D92" s="10" t="inlineStr">
        <is>
          <t>Chairman</t>
        </is>
      </c>
      <c r="E92" s="10" t="inlineStr">
        <is>
          <t>Emirates Islamic</t>
        </is>
      </c>
      <c r="F92" s="10" t="inlineStr">
        <is>
          <t>BAE</t>
        </is>
      </c>
      <c r="G92" s="8" t="inlineStr">
        <is>
          <t>Orta (başkan)</t>
        </is>
      </c>
      <c r="H92" s="11">
        <f>HYPERLINK("https://www.linkedin.com/search/results/people/?keywords=Hesham%20Al%20Qassim%20Emirates%20Islamic","LinkedIn'de bul")</f>
        <v/>
      </c>
      <c r="I92" s="11">
        <f>HYPERLINK("https://www.emiratesislamic.ae","emiratesislamic.ae")</f>
        <v/>
      </c>
      <c r="J92" s="10" t="inlineStr"/>
      <c r="K92" s="11">
        <f>HYPERLINK("https://www.emiratesislamic.ae/en/about-us/board-members-management-team","Kaynak")</f>
        <v/>
      </c>
    </row>
    <row r="93" ht="30" customHeight="1">
      <c r="A93" s="8" t="n">
        <v>91</v>
      </c>
      <c r="B93" s="10" t="inlineStr">
        <is>
          <t>Islamic Banking</t>
        </is>
      </c>
      <c r="C93" s="10" t="inlineStr">
        <is>
          <t>Farid AlMulla</t>
        </is>
      </c>
      <c r="D93" s="10" t="inlineStr">
        <is>
          <t>CEO</t>
        </is>
      </c>
      <c r="E93" s="10" t="inlineStr">
        <is>
          <t>Emirates Islamic</t>
        </is>
      </c>
      <c r="F93" s="10" t="inlineStr">
        <is>
          <t>BAE</t>
        </is>
      </c>
      <c r="G93" s="15" t="inlineStr">
        <is>
          <t>Yüksek (profesyonel)</t>
        </is>
      </c>
      <c r="H93" s="11">
        <f>HYPERLINK("https://www.linkedin.com/search/results/people/?keywords=Farid%20AlMulla%20Emirates%20Islamic","LinkedIn'de bul")</f>
        <v/>
      </c>
      <c r="I93" s="11">
        <f>HYPERLINK("https://www.emiratesislamic.ae","emiratesislamic.ae")</f>
        <v/>
      </c>
      <c r="J93" s="10" t="inlineStr"/>
      <c r="K93" s="11">
        <f>HYPERLINK("https://www.emiratesislamic.ae/en/about-us/board-members-management-team","Kaynak")</f>
        <v/>
      </c>
    </row>
    <row r="94" ht="30" customHeight="1">
      <c r="A94" s="8" t="n">
        <v>92</v>
      </c>
      <c r="B94" s="10" t="inlineStr">
        <is>
          <t>Banking</t>
        </is>
      </c>
      <c r="C94" s="10" t="inlineStr">
        <is>
          <t>Ahmad Abdulkarim Julfar</t>
        </is>
      </c>
      <c r="D94" s="10" t="inlineStr">
        <is>
          <t>Chairman</t>
        </is>
      </c>
      <c r="E94" s="10" t="inlineStr">
        <is>
          <t>Commercial Bank of Dubai</t>
        </is>
      </c>
      <c r="F94" s="10" t="inlineStr">
        <is>
          <t>BAE</t>
        </is>
      </c>
      <c r="G94" s="8" t="inlineStr">
        <is>
          <t>Orta (başkan)</t>
        </is>
      </c>
      <c r="H94" s="11">
        <f>HYPERLINK("https://www.linkedin.com/search/results/people/?keywords=Ahmad%20Julfar%20Commercial%20Bank%20of%20Dubai","LinkedIn'de bul")</f>
        <v/>
      </c>
      <c r="I94" s="11">
        <f>HYPERLINK("https://www.cbd.ae","cbd.ae")</f>
        <v/>
      </c>
      <c r="J94" s="10" t="inlineStr"/>
      <c r="K94" s="11">
        <f>HYPERLINK("https://www.cbd.ae/aboutus/corporate-governance/cbd-board-of-directors","Kaynak")</f>
        <v/>
      </c>
    </row>
    <row r="95" ht="30" customHeight="1">
      <c r="A95" s="8" t="n">
        <v>93</v>
      </c>
      <c r="B95" s="10" t="inlineStr">
        <is>
          <t>Banking</t>
        </is>
      </c>
      <c r="C95" s="10" t="inlineStr">
        <is>
          <t>Bernd van Linder</t>
        </is>
      </c>
      <c r="D95" s="10" t="inlineStr">
        <is>
          <t>CEO</t>
        </is>
      </c>
      <c r="E95" s="10" t="inlineStr">
        <is>
          <t>Commercial Bank of Dubai</t>
        </is>
      </c>
      <c r="F95" s="10" t="inlineStr">
        <is>
          <t>BAE</t>
        </is>
      </c>
      <c r="G95" s="15" t="inlineStr">
        <is>
          <t>Yüksek (profesyonel)</t>
        </is>
      </c>
      <c r="H95" s="11">
        <f>HYPERLINK("https://www.linkedin.com/search/results/people/?keywords=Bernd%20van%20Linder%20Commercial%20Bank%20of%20Dubai","LinkedIn'de bul")</f>
        <v/>
      </c>
      <c r="I95" s="11">
        <f>HYPERLINK("https://www.cbd.ae","cbd.ae")</f>
        <v/>
      </c>
      <c r="J95" s="10" t="inlineStr"/>
      <c r="K95" s="11">
        <f>HYPERLINK("https://www.cbd.ae/aboutus/about-cbd/cbd-management-team","Kaynak")</f>
        <v/>
      </c>
    </row>
    <row r="96" ht="30" customHeight="1">
      <c r="A96" s="8" t="n">
        <v>94</v>
      </c>
      <c r="B96" s="10" t="inlineStr">
        <is>
          <t>Banking</t>
        </is>
      </c>
      <c r="C96" s="10" t="inlineStr">
        <is>
          <t>Darren Clarke</t>
        </is>
      </c>
      <c r="D96" s="10" t="inlineStr">
        <is>
          <t>CFO</t>
        </is>
      </c>
      <c r="E96" s="10" t="inlineStr">
        <is>
          <t>Commercial Bank of Dubai</t>
        </is>
      </c>
      <c r="F96" s="10" t="inlineStr">
        <is>
          <t>BAE</t>
        </is>
      </c>
      <c r="G96" s="15" t="inlineStr">
        <is>
          <t>Yüksek (profesyonel)</t>
        </is>
      </c>
      <c r="H96" s="11">
        <f>HYPERLINK("https://www.linkedin.com/search/results/people/?keywords=Darren%20Clarke%20Commercial%20Bank%20of%20Dubai","LinkedIn'de bul")</f>
        <v/>
      </c>
      <c r="I96" s="11">
        <f>HYPERLINK("https://www.cbd.ae","cbd.ae")</f>
        <v/>
      </c>
      <c r="J96" s="10" t="inlineStr"/>
      <c r="K96" s="11">
        <f>HYPERLINK("https://www.cbd.ae/aboutus/about-cbd/corporate-governance/cbd-management-team/mr-darren-clarke","Kaynak")</f>
        <v/>
      </c>
    </row>
    <row r="97" ht="30" customHeight="1">
      <c r="A97" s="8" t="n">
        <v>95</v>
      </c>
      <c r="B97" s="10" t="inlineStr">
        <is>
          <t>Banking</t>
        </is>
      </c>
      <c r="C97" s="10" t="inlineStr">
        <is>
          <t>Sheikh Saleh bin Mohamed Al Sharqi</t>
        </is>
      </c>
      <c r="D97" s="10" t="inlineStr">
        <is>
          <t>Chairman</t>
        </is>
      </c>
      <c r="E97" s="10" t="inlineStr">
        <is>
          <t>National Bank of Fujairah</t>
        </is>
      </c>
      <c r="F97" s="10" t="inlineStr">
        <is>
          <t>BAE</t>
        </is>
      </c>
      <c r="G97" s="8" t="inlineStr">
        <is>
          <t>Düşük (royal/sahip)</t>
        </is>
      </c>
      <c r="H97" s="11">
        <f>HYPERLINK("https://www.linkedin.com/search/results/people/?keywords=Saleh%20Al%20Sharqi%20National%20Bank%20of%20Fujairah","LinkedIn'de bul")</f>
        <v/>
      </c>
      <c r="I97" s="11">
        <f>HYPERLINK("https://nbf.ae","nbf.ae")</f>
        <v/>
      </c>
      <c r="J97" s="10" t="inlineStr"/>
      <c r="K97" s="11">
        <f>HYPERLINK("https://nbf.ae/en/about-us/investor-relations/corporate-governance/board-of-directors","Kaynak")</f>
        <v/>
      </c>
    </row>
    <row r="98" ht="30" customHeight="1">
      <c r="A98" s="8" t="n">
        <v>96</v>
      </c>
      <c r="B98" s="10" t="inlineStr">
        <is>
          <t>Banking</t>
        </is>
      </c>
      <c r="C98" s="10" t="inlineStr">
        <is>
          <t>Adnan Anwar</t>
        </is>
      </c>
      <c r="D98" s="10" t="inlineStr">
        <is>
          <t>CEO</t>
        </is>
      </c>
      <c r="E98" s="10" t="inlineStr">
        <is>
          <t>National Bank of Fujairah</t>
        </is>
      </c>
      <c r="F98" s="10" t="inlineStr">
        <is>
          <t>BAE</t>
        </is>
      </c>
      <c r="G98" s="15" t="inlineStr">
        <is>
          <t>Yüksek (profesyonel)</t>
        </is>
      </c>
      <c r="H98" s="11">
        <f>HYPERLINK("https://www.linkedin.com/search/results/people/?keywords=Adnan%20Anwar%20National%20Bank%20of%20Fujairah","LinkedIn'de bul")</f>
        <v/>
      </c>
      <c r="I98" s="11">
        <f>HYPERLINK("https://nbf.ae","nbf.ae")</f>
        <v/>
      </c>
      <c r="J98" s="10" t="inlineStr"/>
      <c r="K98" s="11">
        <f>HYPERLINK("https://nbf.ae/en/about-us/investor-relations/corporate-governance/management-committees","Kaynak")</f>
        <v/>
      </c>
    </row>
    <row r="99" ht="30" customHeight="1">
      <c r="A99" s="8" t="n">
        <v>97</v>
      </c>
      <c r="B99" s="10" t="inlineStr">
        <is>
          <t>Banking</t>
        </is>
      </c>
      <c r="C99" s="10" t="inlineStr">
        <is>
          <t>Brian Mulholland</t>
        </is>
      </c>
      <c r="D99" s="10" t="inlineStr">
        <is>
          <t>CFO</t>
        </is>
      </c>
      <c r="E99" s="10" t="inlineStr">
        <is>
          <t>National Bank of Fujairah</t>
        </is>
      </c>
      <c r="F99" s="10" t="inlineStr">
        <is>
          <t>BAE</t>
        </is>
      </c>
      <c r="G99" s="15" t="inlineStr">
        <is>
          <t>Yüksek (profesyonel)</t>
        </is>
      </c>
      <c r="H99" s="11">
        <f>HYPERLINK("https://www.linkedin.com/search/results/people/?keywords=Brian%20Mulholland%20National%20Bank%20of%20Fujairah","LinkedIn'de bul")</f>
        <v/>
      </c>
      <c r="I99" s="11">
        <f>HYPERLINK("https://nbf.ae","nbf.ae")</f>
        <v/>
      </c>
      <c r="J99" s="10" t="inlineStr"/>
      <c r="K99" s="11">
        <f>HYPERLINK("https://nbf.ae/en/about-us/investor-relations/corporate-governance/management-committees","Kaynak")</f>
        <v/>
      </c>
    </row>
    <row r="100" ht="30" customHeight="1">
      <c r="A100" s="8" t="n">
        <v>98</v>
      </c>
      <c r="B100" s="10" t="inlineStr">
        <is>
          <t>Islamic Banking</t>
        </is>
      </c>
      <c r="C100" s="10" t="inlineStr">
        <is>
          <t>Abdulrahman Mohamed Salem Alowais</t>
        </is>
      </c>
      <c r="D100" s="10" t="inlineStr">
        <is>
          <t>Chairman</t>
        </is>
      </c>
      <c r="E100" s="10" t="inlineStr">
        <is>
          <t>Sharjah Islamic Bank</t>
        </is>
      </c>
      <c r="F100" s="10" t="inlineStr">
        <is>
          <t>BAE</t>
        </is>
      </c>
      <c r="G100" s="8" t="inlineStr">
        <is>
          <t>Orta (başkan)</t>
        </is>
      </c>
      <c r="H100" s="11">
        <f>HYPERLINK("https://www.linkedin.com/search/results/people/?keywords=Abdulrahman%20Alowais%20Sharjah%20Islamic%20Bank","LinkedIn'de bul")</f>
        <v/>
      </c>
      <c r="I100" s="11">
        <f>HYPERLINK("https://www.sib.ae","sib.ae")</f>
        <v/>
      </c>
      <c r="J100" s="10" t="inlineStr"/>
      <c r="K100" s="11">
        <f>HYPERLINK("https://www.sib.ae/en/about-us/corporate-governance","Kaynak")</f>
        <v/>
      </c>
    </row>
    <row r="101" ht="30" customHeight="1">
      <c r="A101" s="8" t="n">
        <v>99</v>
      </c>
      <c r="B101" s="10" t="inlineStr">
        <is>
          <t>Islamic Banking</t>
        </is>
      </c>
      <c r="C101" s="10" t="inlineStr">
        <is>
          <t>Mohamed Ahmed Abdalla</t>
        </is>
      </c>
      <c r="D101" s="10" t="inlineStr">
        <is>
          <t>CEO</t>
        </is>
      </c>
      <c r="E101" s="10" t="inlineStr">
        <is>
          <t>Sharjah Islamic Bank</t>
        </is>
      </c>
      <c r="F101" s="10" t="inlineStr">
        <is>
          <t>BAE</t>
        </is>
      </c>
      <c r="G101" s="15" t="inlineStr">
        <is>
          <t>Yüksek (profesyonel)</t>
        </is>
      </c>
      <c r="H101" s="11">
        <f>HYPERLINK("https://www.linkedin.com/search/results/people/?keywords=Mohamed%20Ahmed%20Abdalla%20Sharjah%20Islamic%20Bank","LinkedIn'de bul")</f>
        <v/>
      </c>
      <c r="I101" s="11">
        <f>HYPERLINK("https://www.sib.ae","sib.ae")</f>
        <v/>
      </c>
      <c r="J101" s="10" t="inlineStr"/>
      <c r="K101" s="11">
        <f>HYPERLINK("https://www.sib.ae/en/about-us/corporate-governance","Kaynak")</f>
        <v/>
      </c>
    </row>
    <row r="102" ht="30" customHeight="1">
      <c r="A102" s="8" t="n">
        <v>100</v>
      </c>
      <c r="B102" s="10" t="inlineStr">
        <is>
          <t>Islamic Banking</t>
        </is>
      </c>
      <c r="C102" s="10" t="inlineStr">
        <is>
          <t>Ghaith Al Midfa</t>
        </is>
      </c>
      <c r="D102" s="10" t="inlineStr">
        <is>
          <t>Group CFO</t>
        </is>
      </c>
      <c r="E102" s="10" t="inlineStr">
        <is>
          <t>Sharjah Islamic Bank</t>
        </is>
      </c>
      <c r="F102" s="10" t="inlineStr">
        <is>
          <t>BAE</t>
        </is>
      </c>
      <c r="G102" s="15" t="inlineStr">
        <is>
          <t>Yüksek (profesyonel)</t>
        </is>
      </c>
      <c r="H102" s="11">
        <f>HYPERLINK("https://www.linkedin.com/search/results/people/?keywords=Ghaith%20Al%20Midfa%20Sharjah%20Islamic%20Bank","LinkedIn'de bul")</f>
        <v/>
      </c>
      <c r="I102" s="11">
        <f>HYPERLINK("https://www.sib.ae","sib.ae")</f>
        <v/>
      </c>
      <c r="J102" s="10" t="inlineStr"/>
      <c r="K102" s="11">
        <f>HYPERLINK("https://www.sib.ae/en/about-us/corporate-governance","Kaynak")</f>
        <v/>
      </c>
    </row>
    <row r="103" ht="30" customHeight="1">
      <c r="A103" s="8" t="n">
        <v>101</v>
      </c>
      <c r="B103" s="10" t="inlineStr">
        <is>
          <t>Telecom</t>
        </is>
      </c>
      <c r="C103" s="10" t="inlineStr">
        <is>
          <t>Jassem Mohamed Bu Ataba Alzaabi</t>
        </is>
      </c>
      <c r="D103" s="10" t="inlineStr">
        <is>
          <t>Chairman</t>
        </is>
      </c>
      <c r="E103" s="10" t="inlineStr">
        <is>
          <t>e&amp; (Etisalat Group)</t>
        </is>
      </c>
      <c r="F103" s="10" t="inlineStr">
        <is>
          <t>BAE</t>
        </is>
      </c>
      <c r="G103" s="8" t="inlineStr">
        <is>
          <t>Orta (başkan)</t>
        </is>
      </c>
      <c r="H103" s="11">
        <f>HYPERLINK("https://www.linkedin.com/search/results/people/?keywords=Jassem%20Alzaabi%20e%26","LinkedIn'de bul")</f>
        <v/>
      </c>
      <c r="I103" s="11">
        <f>HYPERLINK("https://www.eand.com","eand.com")</f>
        <v/>
      </c>
      <c r="J103" s="10" t="inlineStr"/>
      <c r="K103" s="11">
        <f>HYPERLINK("https://www.eand.com/en/whoweare/governance/board-of-directors.html","Kaynak")</f>
        <v/>
      </c>
    </row>
    <row r="104" ht="30" customHeight="1">
      <c r="A104" s="8" t="n">
        <v>102</v>
      </c>
      <c r="B104" s="10" t="inlineStr">
        <is>
          <t>Telecom</t>
        </is>
      </c>
      <c r="C104" s="10" t="inlineStr">
        <is>
          <t>Masood M. Sharif Mahmood</t>
        </is>
      </c>
      <c r="D104" s="10" t="inlineStr">
        <is>
          <t>Group CEO</t>
        </is>
      </c>
      <c r="E104" s="10" t="inlineStr">
        <is>
          <t>e&amp; (Etisalat Group)</t>
        </is>
      </c>
      <c r="F104" s="10" t="inlineStr">
        <is>
          <t>BAE</t>
        </is>
      </c>
      <c r="G104" s="15" t="inlineStr">
        <is>
          <t>Yüksek (profesyonel)</t>
        </is>
      </c>
      <c r="H104" s="11">
        <f>HYPERLINK("https://www.linkedin.com/search/results/people/?keywords=Masood%20Sharif%20Mahmood%20e%26","LinkedIn'de bul")</f>
        <v/>
      </c>
      <c r="I104" s="11">
        <f>HYPERLINK("https://www.eand.com","eand.com")</f>
        <v/>
      </c>
      <c r="J104" s="10" t="inlineStr"/>
      <c r="K104" s="11">
        <f>HYPERLINK("https://www.eand.com/en/whoweare/senior-management.html","Kaynak")</f>
        <v/>
      </c>
    </row>
    <row r="105" ht="30" customHeight="1">
      <c r="A105" s="8" t="n">
        <v>103</v>
      </c>
      <c r="B105" s="10" t="inlineStr">
        <is>
          <t>Telecom</t>
        </is>
      </c>
      <c r="C105" s="10" t="inlineStr">
        <is>
          <t>Karim Bennis</t>
        </is>
      </c>
      <c r="D105" s="10" t="inlineStr">
        <is>
          <t>Group CFO</t>
        </is>
      </c>
      <c r="E105" s="10" t="inlineStr">
        <is>
          <t>e&amp; (Etisalat Group)</t>
        </is>
      </c>
      <c r="F105" s="10" t="inlineStr">
        <is>
          <t>BAE</t>
        </is>
      </c>
      <c r="G105" s="15" t="inlineStr">
        <is>
          <t>Yüksek (profesyonel)</t>
        </is>
      </c>
      <c r="H105" s="11">
        <f>HYPERLINK("https://www.linkedin.com/search/results/people/?keywords=Karim%20Bennis%20e%26%20Etisalat","LinkedIn'de bul")</f>
        <v/>
      </c>
      <c r="I105" s="11">
        <f>HYPERLINK("https://www.eand.com","eand.com")</f>
        <v/>
      </c>
      <c r="J105" s="10" t="inlineStr"/>
      <c r="K105" s="11">
        <f>HYPERLINK("https://www.eand.com/en/whoweare/senior-management.html","Kaynak")</f>
        <v/>
      </c>
    </row>
    <row r="106" ht="30" customHeight="1">
      <c r="A106" s="8" t="n">
        <v>104</v>
      </c>
      <c r="B106" s="10" t="inlineStr">
        <is>
          <t>Telecom</t>
        </is>
      </c>
      <c r="C106" s="10" t="inlineStr">
        <is>
          <t>Malek Sultan Al Malek</t>
        </is>
      </c>
      <c r="D106" s="10" t="inlineStr">
        <is>
          <t>Chairman</t>
        </is>
      </c>
      <c r="E106" s="10" t="inlineStr">
        <is>
          <t>du (EITC)</t>
        </is>
      </c>
      <c r="F106" s="10" t="inlineStr">
        <is>
          <t>BAE</t>
        </is>
      </c>
      <c r="G106" s="8" t="inlineStr">
        <is>
          <t>Orta (başkan)</t>
        </is>
      </c>
      <c r="H106" s="11">
        <f>HYPERLINK("https://www.linkedin.com/search/results/people/?keywords=Malek%20Al%20Malek%20du%20EITC","LinkedIn'de bul")</f>
        <v/>
      </c>
      <c r="I106" s="11">
        <f>HYPERLINK("https://www.du.ae","du.ae")</f>
        <v/>
      </c>
      <c r="J106" s="10" t="inlineStr"/>
      <c r="K106" s="11">
        <f>HYPERLINK("https://www.du.ae/about-us/investor-relations/board-of-directors","Kaynak")</f>
        <v/>
      </c>
    </row>
    <row r="107" ht="30" customHeight="1">
      <c r="A107" s="8" t="n">
        <v>105</v>
      </c>
      <c r="B107" s="10" t="inlineStr">
        <is>
          <t>Telecom</t>
        </is>
      </c>
      <c r="C107" s="10" t="inlineStr">
        <is>
          <t>Fahad Al Hassawi</t>
        </is>
      </c>
      <c r="D107" s="10" t="inlineStr">
        <is>
          <t>CEO</t>
        </is>
      </c>
      <c r="E107" s="10" t="inlineStr">
        <is>
          <t>du (EITC)</t>
        </is>
      </c>
      <c r="F107" s="10" t="inlineStr">
        <is>
          <t>BAE</t>
        </is>
      </c>
      <c r="G107" s="15" t="inlineStr">
        <is>
          <t>Yüksek (profesyonel)</t>
        </is>
      </c>
      <c r="H107" s="11">
        <f>HYPERLINK("https://www.linkedin.com/search/results/people/?keywords=Fahad%20Al%20Hassawi%20du%20EITC","LinkedIn'de bul")</f>
        <v/>
      </c>
      <c r="I107" s="11">
        <f>HYPERLINK("https://www.du.ae","du.ae")</f>
        <v/>
      </c>
      <c r="J107" s="10" t="inlineStr"/>
      <c r="K107" s="11">
        <f>HYPERLINK("https://www.du.ae/management-team","Kaynak")</f>
        <v/>
      </c>
    </row>
    <row r="108" ht="30" customHeight="1">
      <c r="A108" s="8" t="n">
        <v>106</v>
      </c>
      <c r="B108" s="10" t="inlineStr">
        <is>
          <t>Telecom</t>
        </is>
      </c>
      <c r="C108" s="10" t="inlineStr">
        <is>
          <t>Kais Ben Hamida</t>
        </is>
      </c>
      <c r="D108" s="10" t="inlineStr">
        <is>
          <t>CFO</t>
        </is>
      </c>
      <c r="E108" s="10" t="inlineStr">
        <is>
          <t>du (EITC)</t>
        </is>
      </c>
      <c r="F108" s="10" t="inlineStr">
        <is>
          <t>BAE</t>
        </is>
      </c>
      <c r="G108" s="15" t="inlineStr">
        <is>
          <t>Yüksek (profesyonel)</t>
        </is>
      </c>
      <c r="H108" s="11">
        <f>HYPERLINK("https://www.linkedin.com/search/results/people/?keywords=Kais%20Ben%20Hamida%20du%20EITC","LinkedIn'de bul")</f>
        <v/>
      </c>
      <c r="I108" s="11">
        <f>HYPERLINK("https://www.du.ae","du.ae")</f>
        <v/>
      </c>
      <c r="J108" s="10" t="inlineStr"/>
      <c r="K108" s="11">
        <f>HYPERLINK("https://www.du.ae/management-team","Kaynak")</f>
        <v/>
      </c>
    </row>
    <row r="109" ht="30" customHeight="1">
      <c r="A109" s="8" t="n">
        <v>107</v>
      </c>
      <c r="B109" s="10" t="inlineStr">
        <is>
          <t>Energy</t>
        </is>
      </c>
      <c r="C109" s="10" t="inlineStr">
        <is>
          <t>Bader Saeed Al Lamki</t>
        </is>
      </c>
      <c r="D109" s="10" t="inlineStr">
        <is>
          <t>CEO</t>
        </is>
      </c>
      <c r="E109" s="10" t="inlineStr">
        <is>
          <t>ADNOC Distribution</t>
        </is>
      </c>
      <c r="F109" s="10" t="inlineStr">
        <is>
          <t>BAE</t>
        </is>
      </c>
      <c r="G109" s="15" t="inlineStr">
        <is>
          <t>Yüksek (profesyonel)</t>
        </is>
      </c>
      <c r="H109" s="11">
        <f>HYPERLINK("https://www.linkedin.com/search/results/people/?keywords=Bader%20Al%20Lamki%20ADNOC%20Distribution","LinkedIn'de bul")</f>
        <v/>
      </c>
      <c r="I109" s="11">
        <f>HYPERLINK("https://www.adnocdistribution.ae","adnocdistribution.ae")</f>
        <v/>
      </c>
      <c r="J109" s="10" t="inlineStr"/>
      <c r="K109" s="11">
        <f>HYPERLINK("https://www.adnocdistribution.ae/en/investor-relations/leadership","Kaynak")</f>
        <v/>
      </c>
    </row>
    <row r="110" ht="30" customHeight="1">
      <c r="A110" s="8" t="n">
        <v>108</v>
      </c>
      <c r="B110" s="10" t="inlineStr">
        <is>
          <t>Energy</t>
        </is>
      </c>
      <c r="C110" s="10" t="inlineStr">
        <is>
          <t>Wayne Beifus</t>
        </is>
      </c>
      <c r="D110" s="10" t="inlineStr">
        <is>
          <t>CFO</t>
        </is>
      </c>
      <c r="E110" s="10" t="inlineStr">
        <is>
          <t>ADNOC Distribution</t>
        </is>
      </c>
      <c r="F110" s="10" t="inlineStr">
        <is>
          <t>BAE</t>
        </is>
      </c>
      <c r="G110" s="15" t="inlineStr">
        <is>
          <t>Yüksek (profesyonel)</t>
        </is>
      </c>
      <c r="H110" s="11">
        <f>HYPERLINK("https://www.linkedin.com/search/results/people/?keywords=Wayne%20Beifus%20ADNOC%20Distribution","LinkedIn'de bul")</f>
        <v/>
      </c>
      <c r="I110" s="11">
        <f>HYPERLINK("https://www.adnocdistribution.ae","adnocdistribution.ae")</f>
        <v/>
      </c>
      <c r="J110" s="10" t="inlineStr"/>
      <c r="K110" s="11">
        <f>HYPERLINK("https://www.adnocdistribution.ae/en/investor-relations/leadership","Kaynak")</f>
        <v/>
      </c>
    </row>
    <row r="111" ht="30" customHeight="1">
      <c r="A111" s="8" t="n">
        <v>109</v>
      </c>
      <c r="B111" s="10" t="inlineStr">
        <is>
          <t>Energy</t>
        </is>
      </c>
      <c r="C111" s="10" t="inlineStr">
        <is>
          <t>Fatema Mohamed Al Nuaimi</t>
        </is>
      </c>
      <c r="D111" s="10" t="inlineStr">
        <is>
          <t>CEO</t>
        </is>
      </c>
      <c r="E111" s="10" t="inlineStr">
        <is>
          <t>ADNOC Gas</t>
        </is>
      </c>
      <c r="F111" s="10" t="inlineStr">
        <is>
          <t>BAE</t>
        </is>
      </c>
      <c r="G111" s="15" t="inlineStr">
        <is>
          <t>Yüksek (profesyonel)</t>
        </is>
      </c>
      <c r="H111" s="11">
        <f>HYPERLINK("https://www.linkedin.com/search/results/people/?keywords=Fatema%20Al%20Nuaimi%20ADNOC%20Gas","LinkedIn'de bul")</f>
        <v/>
      </c>
      <c r="I111" s="11">
        <f>HYPERLINK("https://www.adnocgas.ae","adnocgas.ae")</f>
        <v/>
      </c>
      <c r="J111" s="10" t="inlineStr"/>
      <c r="K111" s="11">
        <f>HYPERLINK("https://www.adnocgas.ae/en/our-company/executive-management","Kaynak")</f>
        <v/>
      </c>
    </row>
    <row r="112" ht="30" customHeight="1">
      <c r="A112" s="8" t="n">
        <v>110</v>
      </c>
      <c r="B112" s="10" t="inlineStr">
        <is>
          <t>Energy</t>
        </is>
      </c>
      <c r="C112" s="10" t="inlineStr">
        <is>
          <t>Peter van Driel</t>
        </is>
      </c>
      <c r="D112" s="10" t="inlineStr">
        <is>
          <t>CFO</t>
        </is>
      </c>
      <c r="E112" s="10" t="inlineStr">
        <is>
          <t>ADNOC Gas</t>
        </is>
      </c>
      <c r="F112" s="10" t="inlineStr">
        <is>
          <t>BAE</t>
        </is>
      </c>
      <c r="G112" s="15" t="inlineStr">
        <is>
          <t>Yüksek (profesyonel)</t>
        </is>
      </c>
      <c r="H112" s="11">
        <f>HYPERLINK("https://www.linkedin.com/search/results/people/?keywords=Peter%20van%20Driel%20ADNOC%20Gas","LinkedIn'de bul")</f>
        <v/>
      </c>
      <c r="I112" s="11">
        <f>HYPERLINK("https://www.adnocgas.ae","adnocgas.ae")</f>
        <v/>
      </c>
      <c r="J112" s="10" t="inlineStr"/>
      <c r="K112" s="11">
        <f>HYPERLINK("https://www.adnocgas.ae/en/our-company/executive-management","Kaynak")</f>
        <v/>
      </c>
    </row>
    <row r="113" ht="30" customHeight="1">
      <c r="A113" s="8" t="n">
        <v>111</v>
      </c>
      <c r="B113" s="10" t="inlineStr">
        <is>
          <t>Petrochemicals</t>
        </is>
      </c>
      <c r="C113" s="10" t="inlineStr">
        <is>
          <t>Hazeem Sultan Al Suwaidi</t>
        </is>
      </c>
      <c r="D113" s="10" t="inlineStr">
        <is>
          <t>CEO</t>
        </is>
      </c>
      <c r="E113" s="10" t="inlineStr">
        <is>
          <t>Borouge</t>
        </is>
      </c>
      <c r="F113" s="10" t="inlineStr">
        <is>
          <t>BAE</t>
        </is>
      </c>
      <c r="G113" s="15" t="inlineStr">
        <is>
          <t>Yüksek (profesyonel)</t>
        </is>
      </c>
      <c r="H113" s="11">
        <f>HYPERLINK("https://www.linkedin.com/search/results/people/?keywords=Hazeem%20Al%20Suwaidi%20Borouge","LinkedIn'de bul")</f>
        <v/>
      </c>
      <c r="I113" s="11">
        <f>HYPERLINK("https://www.borouge.com","borouge.com")</f>
        <v/>
      </c>
      <c r="J113" s="10" t="inlineStr"/>
      <c r="K113" s="11">
        <f>HYPERLINK("https://www.borouge.com","Kaynak")</f>
        <v/>
      </c>
    </row>
    <row r="114" ht="30" customHeight="1">
      <c r="A114" s="8" t="n">
        <v>112</v>
      </c>
      <c r="B114" s="10" t="inlineStr">
        <is>
          <t>Petrochemicals</t>
        </is>
      </c>
      <c r="C114" s="10" t="inlineStr">
        <is>
          <t>Jan-Martin Nufer</t>
        </is>
      </c>
      <c r="D114" s="10" t="inlineStr">
        <is>
          <t>CFO</t>
        </is>
      </c>
      <c r="E114" s="10" t="inlineStr">
        <is>
          <t>Borouge</t>
        </is>
      </c>
      <c r="F114" s="10" t="inlineStr">
        <is>
          <t>BAE</t>
        </is>
      </c>
      <c r="G114" s="15" t="inlineStr">
        <is>
          <t>Yüksek (profesyonel)</t>
        </is>
      </c>
      <c r="H114" s="11">
        <f>HYPERLINK("https://www.linkedin.com/search/results/people/?keywords=Jan-Martin%20Nufer%20Borouge","LinkedIn'de bul")</f>
        <v/>
      </c>
      <c r="I114" s="11">
        <f>HYPERLINK("https://www.borouge.com","borouge.com")</f>
        <v/>
      </c>
      <c r="J114" s="10" t="inlineStr"/>
      <c r="K114" s="11">
        <f>HYPERLINK("https://www.borouge.com","Kaynak")</f>
        <v/>
      </c>
    </row>
    <row r="115" ht="30" customHeight="1">
      <c r="A115" s="8" t="n">
        <v>113</v>
      </c>
      <c r="B115" s="10" t="inlineStr">
        <is>
          <t>Energy / Utilities</t>
        </is>
      </c>
      <c r="C115" s="10" t="inlineStr">
        <is>
          <t>Jasim Husain Thabet</t>
        </is>
      </c>
      <c r="D115" s="10" t="inlineStr">
        <is>
          <t>Group CEO &amp; MD</t>
        </is>
      </c>
      <c r="E115" s="10" t="inlineStr">
        <is>
          <t>TAQA</t>
        </is>
      </c>
      <c r="F115" s="10" t="inlineStr">
        <is>
          <t>BAE</t>
        </is>
      </c>
      <c r="G115" s="15" t="inlineStr">
        <is>
          <t>Yüksek (profesyonel)</t>
        </is>
      </c>
      <c r="H115" s="11">
        <f>HYPERLINK("https://www.linkedin.com/search/results/people/?keywords=Jasim%20Husain%20Thabet%20TAQA","LinkedIn'de bul")</f>
        <v/>
      </c>
      <c r="I115" s="11">
        <f>HYPERLINK("https://www.taqa.com","taqa.com")</f>
        <v/>
      </c>
      <c r="J115" s="10" t="inlineStr"/>
      <c r="K115" s="11">
        <f>HYPERLINK("https://www.tq.com/about-taqa/leadership/executive-management/","Kaynak")</f>
        <v/>
      </c>
    </row>
    <row r="116" ht="30" customHeight="1">
      <c r="A116" s="8" t="n">
        <v>114</v>
      </c>
      <c r="B116" s="10" t="inlineStr">
        <is>
          <t>Energy / Utilities</t>
        </is>
      </c>
      <c r="C116" s="10" t="inlineStr">
        <is>
          <t>Adrian Kershaw</t>
        </is>
      </c>
      <c r="D116" s="10" t="inlineStr">
        <is>
          <t>CFO</t>
        </is>
      </c>
      <c r="E116" s="10" t="inlineStr">
        <is>
          <t>TAQA</t>
        </is>
      </c>
      <c r="F116" s="10" t="inlineStr">
        <is>
          <t>BAE</t>
        </is>
      </c>
      <c r="G116" s="15" t="inlineStr">
        <is>
          <t>Yüksek (profesyonel)</t>
        </is>
      </c>
      <c r="H116" s="11">
        <f>HYPERLINK("https://www.linkedin.com/search/results/people/?keywords=Adrian%20Kershaw%20TAQA","LinkedIn'de bul")</f>
        <v/>
      </c>
      <c r="I116" s="11">
        <f>HYPERLINK("https://www.taqa.com","taqa.com")</f>
        <v/>
      </c>
      <c r="J116" s="10" t="inlineStr"/>
      <c r="K116" s="11">
        <f>HYPERLINK("https://www.zawya.com/en/press-release/people-in-the-news/taqa-appoints-new-chief-financial-officer-b6f7rusz","Kaynak")</f>
        <v/>
      </c>
    </row>
    <row r="117" ht="30" customHeight="1">
      <c r="A117" s="8" t="n">
        <v>115</v>
      </c>
      <c r="B117" s="10" t="inlineStr">
        <is>
          <t>Utilities</t>
        </is>
      </c>
      <c r="C117" s="10" t="inlineStr">
        <is>
          <t>Saeed Mohammed Al Tayer</t>
        </is>
      </c>
      <c r="D117" s="10" t="inlineStr">
        <is>
          <t>MD &amp; CEO</t>
        </is>
      </c>
      <c r="E117" s="10" t="inlineStr">
        <is>
          <t>DEWA</t>
        </is>
      </c>
      <c r="F117" s="10" t="inlineStr">
        <is>
          <t>BAE</t>
        </is>
      </c>
      <c r="G117" s="15" t="inlineStr">
        <is>
          <t>Yüksek (profesyonel)</t>
        </is>
      </c>
      <c r="H117" s="11">
        <f>HYPERLINK("https://www.linkedin.com/search/results/people/?keywords=Saeed%20Al%20Tayer%20DEWA","LinkedIn'de bul")</f>
        <v/>
      </c>
      <c r="I117" s="11">
        <f>HYPERLINK("https://www.dewa.gov.ae","dewa.gov.ae")</f>
        <v/>
      </c>
      <c r="J117" s="10" t="inlineStr"/>
      <c r="K117" s="11">
        <f>HYPERLINK("https://www.dewa.gov.ae/en/about-us/strategy-excellence/board-of-directors","Kaynak")</f>
        <v/>
      </c>
    </row>
    <row r="118" ht="30" customHeight="1">
      <c r="A118" s="8" t="n">
        <v>116</v>
      </c>
      <c r="B118" s="10" t="inlineStr">
        <is>
          <t>Transport</t>
        </is>
      </c>
      <c r="C118" s="10" t="inlineStr">
        <is>
          <t>Ibrahim Sultan Al Haddad</t>
        </is>
      </c>
      <c r="D118" s="10" t="inlineStr">
        <is>
          <t>CEO</t>
        </is>
      </c>
      <c r="E118" s="10" t="inlineStr">
        <is>
          <t>Salik Company</t>
        </is>
      </c>
      <c r="F118" s="10" t="inlineStr">
        <is>
          <t>BAE</t>
        </is>
      </c>
      <c r="G118" s="15" t="inlineStr">
        <is>
          <t>Yüksek (profesyonel)</t>
        </is>
      </c>
      <c r="H118" s="11">
        <f>HYPERLINK("https://www.linkedin.com/search/results/people/?keywords=Ibrahim%20Al%20Haddad%20Salik","LinkedIn'de bul")</f>
        <v/>
      </c>
      <c r="I118" s="11">
        <f>HYPERLINK("https://www.salik.ae","salik.ae")</f>
        <v/>
      </c>
      <c r="J118" s="10" t="inlineStr"/>
      <c r="K118" s="11">
        <f>HYPERLINK("https://www.salik.ae/en/Investors/Overview","Kaynak")</f>
        <v/>
      </c>
    </row>
    <row r="119" ht="30" customHeight="1">
      <c r="A119" s="8" t="n">
        <v>117</v>
      </c>
      <c r="B119" s="10" t="inlineStr">
        <is>
          <t>Transport</t>
        </is>
      </c>
      <c r="C119" s="10" t="inlineStr">
        <is>
          <t>Maged Ibrahim</t>
        </is>
      </c>
      <c r="D119" s="10" t="inlineStr">
        <is>
          <t>CFO</t>
        </is>
      </c>
      <c r="E119" s="10" t="inlineStr">
        <is>
          <t>Salik Company</t>
        </is>
      </c>
      <c r="F119" s="10" t="inlineStr">
        <is>
          <t>BAE</t>
        </is>
      </c>
      <c r="G119" s="15" t="inlineStr">
        <is>
          <t>Yüksek (profesyonel)</t>
        </is>
      </c>
      <c r="H119" s="11">
        <f>HYPERLINK("https://www.linkedin.com/search/results/people/?keywords=Maged%20Ibrahim%20Salik","LinkedIn'de bul")</f>
        <v/>
      </c>
      <c r="I119" s="11">
        <f>HYPERLINK("https://www.salik.ae","salik.ae")</f>
        <v/>
      </c>
      <c r="J119" s="10" t="inlineStr"/>
      <c r="K119" s="11">
        <f>HYPERLINK("https://ar2025.salik.ae/en/strategic-review/cfo-review","Kaynak")</f>
        <v/>
      </c>
    </row>
    <row r="120" ht="30" customHeight="1">
      <c r="A120" s="8" t="n">
        <v>118</v>
      </c>
      <c r="B120" s="10" t="inlineStr">
        <is>
          <t>Fertilizers</t>
        </is>
      </c>
      <c r="C120" s="10" t="inlineStr">
        <is>
          <t>Ahmed El-Hoshy</t>
        </is>
      </c>
      <c r="D120" s="10" t="inlineStr">
        <is>
          <t>CEO</t>
        </is>
      </c>
      <c r="E120" s="10" t="inlineStr">
        <is>
          <t>Fertiglobe</t>
        </is>
      </c>
      <c r="F120" s="10" t="inlineStr">
        <is>
          <t>BAE</t>
        </is>
      </c>
      <c r="G120" s="15" t="inlineStr">
        <is>
          <t>Yüksek (profesyonel)</t>
        </is>
      </c>
      <c r="H120" s="11">
        <f>HYPERLINK("https://www.linkedin.com/search/results/people/?keywords=Ahmed%20El-Hoshy%20Fertiglobe","LinkedIn'de bul")</f>
        <v/>
      </c>
      <c r="I120" s="11">
        <f>HYPERLINK("https://www.fertiglobe.com","fertiglobe.com")</f>
        <v/>
      </c>
      <c r="J120" s="10" t="inlineStr"/>
      <c r="K120" s="11">
        <f>HYPERLINK("https://craft.co/fertiglobe/executives","Kaynak")</f>
        <v/>
      </c>
    </row>
    <row r="121" ht="30" customHeight="1">
      <c r="A121" s="8" t="n">
        <v>119</v>
      </c>
      <c r="B121" s="10" t="inlineStr">
        <is>
          <t>Fertilizers</t>
        </is>
      </c>
      <c r="C121" s="10" t="inlineStr">
        <is>
          <t>Andrew Tait</t>
        </is>
      </c>
      <c r="D121" s="10" t="inlineStr">
        <is>
          <t>CFO</t>
        </is>
      </c>
      <c r="E121" s="10" t="inlineStr">
        <is>
          <t>Fertiglobe</t>
        </is>
      </c>
      <c r="F121" s="10" t="inlineStr">
        <is>
          <t>BAE</t>
        </is>
      </c>
      <c r="G121" s="15" t="inlineStr">
        <is>
          <t>Yüksek (profesyonel)</t>
        </is>
      </c>
      <c r="H121" s="11">
        <f>HYPERLINK("https://www.linkedin.com/search/results/people/?keywords=Andrew%20Tait%20Fertiglobe","LinkedIn'de bul")</f>
        <v/>
      </c>
      <c r="I121" s="11">
        <f>HYPERLINK("https://www.fertiglobe.com","fertiglobe.com")</f>
        <v/>
      </c>
      <c r="J121" s="10" t="inlineStr"/>
      <c r="K121" s="11">
        <f>HYPERLINK("https://craft.co/fertiglobe/executives","Kaynak")</f>
        <v/>
      </c>
    </row>
    <row r="122" ht="30" customHeight="1">
      <c r="A122" s="8" t="n">
        <v>120</v>
      </c>
      <c r="B122" s="10" t="inlineStr">
        <is>
          <t>Holding</t>
        </is>
      </c>
      <c r="C122" s="10" t="inlineStr">
        <is>
          <t>Syed Basar Shueb</t>
        </is>
      </c>
      <c r="D122" s="10" t="inlineStr">
        <is>
          <t>CEO &amp; MD</t>
        </is>
      </c>
      <c r="E122" s="10" t="inlineStr">
        <is>
          <t>International Holding Company (IHC)</t>
        </is>
      </c>
      <c r="F122" s="10" t="inlineStr">
        <is>
          <t>BAE</t>
        </is>
      </c>
      <c r="G122" s="15" t="inlineStr">
        <is>
          <t>Yüksek (profesyonel)</t>
        </is>
      </c>
      <c r="H122" s="11">
        <f>HYPERLINK("https://ae.linkedin.com/in/syed-basar-shueb-uae","LinkedIn profili")</f>
        <v/>
      </c>
      <c r="I122" s="11">
        <f>HYPERLINK("https://www.ihcuae.com","ihcuae.com")</f>
        <v/>
      </c>
      <c r="J122" s="10" t="inlineStr"/>
      <c r="K122" s="11">
        <f>HYPERLINK("https://www.ihcuae.com/leadership","Kaynak")</f>
        <v/>
      </c>
    </row>
    <row r="123" ht="30" customHeight="1">
      <c r="A123" s="8" t="n">
        <v>121</v>
      </c>
      <c r="B123" s="10" t="inlineStr">
        <is>
          <t>Restaurants</t>
        </is>
      </c>
      <c r="C123" s="10" t="inlineStr">
        <is>
          <t>Amarpal Sandhu</t>
        </is>
      </c>
      <c r="D123" s="10" t="inlineStr">
        <is>
          <t>CEO</t>
        </is>
      </c>
      <c r="E123" s="10" t="inlineStr">
        <is>
          <t>Americana Restaurants</t>
        </is>
      </c>
      <c r="F123" s="10" t="inlineStr">
        <is>
          <t>BAE</t>
        </is>
      </c>
      <c r="G123" s="15" t="inlineStr">
        <is>
          <t>Yüksek (profesyonel)</t>
        </is>
      </c>
      <c r="H123" s="11">
        <f>HYPERLINK("https://www.linkedin.com/search/results/people/?keywords=Amarpal%20Sandhu%20Americana","LinkedIn'de bul")</f>
        <v/>
      </c>
      <c r="I123" s="11">
        <f>HYPERLINK("https://www.americanarestaurants.com","americanarestaurants.com")</f>
        <v/>
      </c>
      <c r="J123" s="10" t="inlineStr"/>
      <c r="K123" s="11">
        <f>HYPERLINK("https://www.americanarestaurants.com/our-leadership/","Kaynak")</f>
        <v/>
      </c>
    </row>
    <row r="124" ht="30" customHeight="1">
      <c r="A124" s="8" t="n">
        <v>122</v>
      </c>
      <c r="B124" s="10" t="inlineStr">
        <is>
          <t>Restaurants</t>
        </is>
      </c>
      <c r="C124" s="10" t="inlineStr">
        <is>
          <t>Rahul Mathur</t>
        </is>
      </c>
      <c r="D124" s="10" t="inlineStr">
        <is>
          <t>CFO</t>
        </is>
      </c>
      <c r="E124" s="10" t="inlineStr">
        <is>
          <t>Americana Restaurants</t>
        </is>
      </c>
      <c r="F124" s="10" t="inlineStr">
        <is>
          <t>BAE</t>
        </is>
      </c>
      <c r="G124" s="15" t="inlineStr">
        <is>
          <t>Yüksek (profesyonel)</t>
        </is>
      </c>
      <c r="H124" s="11">
        <f>HYPERLINK("https://www.linkedin.com/search/results/people/?keywords=Rahul%20Mathur%20Americana","LinkedIn'de bul")</f>
        <v/>
      </c>
      <c r="I124" s="11">
        <f>HYPERLINK("https://www.americanarestaurants.com","americanarestaurants.com")</f>
        <v/>
      </c>
      <c r="J124" s="10" t="inlineStr"/>
      <c r="K124" s="11">
        <f>HYPERLINK("https://www.americanarestaurants.com/our-leadership/","Kaynak")</f>
        <v/>
      </c>
    </row>
    <row r="125" ht="30" customHeight="1">
      <c r="A125" s="8" t="n">
        <v>123</v>
      </c>
      <c r="B125" s="10" t="inlineStr">
        <is>
          <t>Food &amp; Beverage</t>
        </is>
      </c>
      <c r="C125" s="10" t="inlineStr">
        <is>
          <t>Khalifa Sultan Al Suwaidi</t>
        </is>
      </c>
      <c r="D125" s="10" t="inlineStr">
        <is>
          <t>Chairman</t>
        </is>
      </c>
      <c r="E125" s="10" t="inlineStr">
        <is>
          <t>Agthia Group</t>
        </is>
      </c>
      <c r="F125" s="10" t="inlineStr">
        <is>
          <t>BAE</t>
        </is>
      </c>
      <c r="G125" s="8" t="inlineStr">
        <is>
          <t>Orta (başkan)</t>
        </is>
      </c>
      <c r="H125" s="11">
        <f>HYPERLINK("https://www.linkedin.com/search/results/people/?keywords=Khalifa%20Al%20Suwaidi%20Agthia","LinkedIn'de bul")</f>
        <v/>
      </c>
      <c r="I125" s="11">
        <f>HYPERLINK("https://www.agthia.com","agthia.com")</f>
        <v/>
      </c>
      <c r="J125" s="10" t="inlineStr"/>
      <c r="K125" s="11">
        <f>HYPERLINK("https://www.agthia.com/board-of-directors/","Kaynak")</f>
        <v/>
      </c>
    </row>
    <row r="126" ht="30" customHeight="1">
      <c r="A126" s="8" t="n">
        <v>124</v>
      </c>
      <c r="B126" s="10" t="inlineStr">
        <is>
          <t>Food &amp; Beverage</t>
        </is>
      </c>
      <c r="C126" s="10" t="inlineStr">
        <is>
          <t>Salmeen Al Ameri</t>
        </is>
      </c>
      <c r="D126" s="10" t="inlineStr">
        <is>
          <t>MD &amp; CEO</t>
        </is>
      </c>
      <c r="E126" s="10" t="inlineStr">
        <is>
          <t>Agthia Group</t>
        </is>
      </c>
      <c r="F126" s="10" t="inlineStr">
        <is>
          <t>BAE</t>
        </is>
      </c>
      <c r="G126" s="15" t="inlineStr">
        <is>
          <t>Yüksek (profesyonel)</t>
        </is>
      </c>
      <c r="H126" s="11">
        <f>HYPERLINK("https://www.linkedin.com/search/results/people/?keywords=Salmeen%20Al%20Ameri%20Agthia","LinkedIn'de bul")</f>
        <v/>
      </c>
      <c r="I126" s="11">
        <f>HYPERLINK("https://www.agthia.com","agthia.com")</f>
        <v/>
      </c>
      <c r="J126" s="10" t="inlineStr"/>
      <c r="K126" s="11">
        <f>HYPERLINK("https://www.agthia.com/news/agthia-group-announces-ceo-transition-to-lead-companys-next-phase-of-growth/","Kaynak")</f>
        <v/>
      </c>
    </row>
    <row r="127" ht="30" customHeight="1">
      <c r="A127" s="8" t="n">
        <v>125</v>
      </c>
      <c r="B127" s="10" t="inlineStr">
        <is>
          <t>Food &amp; Beverage</t>
        </is>
      </c>
      <c r="C127" s="10" t="inlineStr">
        <is>
          <t>Jeroen Nijs</t>
        </is>
      </c>
      <c r="D127" s="10" t="inlineStr">
        <is>
          <t>CFO</t>
        </is>
      </c>
      <c r="E127" s="10" t="inlineStr">
        <is>
          <t>Agthia Group</t>
        </is>
      </c>
      <c r="F127" s="10" t="inlineStr">
        <is>
          <t>BAE</t>
        </is>
      </c>
      <c r="G127" s="15" t="inlineStr">
        <is>
          <t>Yüksek (profesyonel)</t>
        </is>
      </c>
      <c r="H127" s="11">
        <f>HYPERLINK("https://www.linkedin.com/search/results/people/?keywords=Jeroen%20Nijs%20Agthia","LinkedIn'de bul")</f>
        <v/>
      </c>
      <c r="I127" s="11">
        <f>HYPERLINK("https://www.agthia.com","agthia.com")</f>
        <v/>
      </c>
      <c r="J127" s="10" t="inlineStr"/>
      <c r="K127" s="11">
        <f>HYPERLINK("https://www.agthia.com/news/meet-our-new-cfo/","Kaynak")</f>
        <v/>
      </c>
    </row>
    <row r="128" ht="30" customHeight="1">
      <c r="A128" s="8" t="n">
        <v>126</v>
      </c>
      <c r="B128" s="10" t="inlineStr">
        <is>
          <t>Retail</t>
        </is>
      </c>
      <c r="C128" s="10" t="inlineStr">
        <is>
          <t>Saifee Rupawala</t>
        </is>
      </c>
      <c r="D128" s="10" t="inlineStr">
        <is>
          <t>CEO</t>
        </is>
      </c>
      <c r="E128" s="10" t="inlineStr">
        <is>
          <t>Lulu Retail Holdings</t>
        </is>
      </c>
      <c r="F128" s="10" t="inlineStr">
        <is>
          <t>BAE</t>
        </is>
      </c>
      <c r="G128" s="15" t="inlineStr">
        <is>
          <t>Yüksek (profesyonel)</t>
        </is>
      </c>
      <c r="H128" s="11">
        <f>HYPERLINK("https://www.linkedin.com/in/saifee-rupawala-ab2902207/","LinkedIn profili")</f>
        <v/>
      </c>
      <c r="I128" s="11">
        <f>HYPERLINK("https://www.luluretail.com","luluretail.com")</f>
        <v/>
      </c>
      <c r="J128" s="10" t="inlineStr"/>
      <c r="K128" s="11">
        <f>HYPERLINK("https://www.luluretail.com/about-us/senior-management/","Kaynak")</f>
        <v/>
      </c>
    </row>
    <row r="129" ht="30" customHeight="1">
      <c r="A129" s="8" t="n">
        <v>127</v>
      </c>
      <c r="B129" s="10" t="inlineStr">
        <is>
          <t>Retail</t>
        </is>
      </c>
      <c r="C129" s="10" t="inlineStr">
        <is>
          <t>Prasad KK</t>
        </is>
      </c>
      <c r="D129" s="10" t="inlineStr">
        <is>
          <t>CFO</t>
        </is>
      </c>
      <c r="E129" s="10" t="inlineStr">
        <is>
          <t>Lulu Retail Holdings</t>
        </is>
      </c>
      <c r="F129" s="10" t="inlineStr">
        <is>
          <t>BAE</t>
        </is>
      </c>
      <c r="G129" s="15" t="inlineStr">
        <is>
          <t>Yüksek (profesyonel)</t>
        </is>
      </c>
      <c r="H129" s="11">
        <f>HYPERLINK("https://www.linkedin.com/search/results/people/?keywords=Prasad%20KK%20Lulu%20Retail","LinkedIn'de bul")</f>
        <v/>
      </c>
      <c r="I129" s="11">
        <f>HYPERLINK("https://www.luluretail.com","luluretail.com")</f>
        <v/>
      </c>
      <c r="J129" s="10" t="inlineStr"/>
      <c r="K129" s="11">
        <f>HYPERLINK("https://www.luluretail.com/about-us/senior-management/","Kaynak")</f>
        <v/>
      </c>
    </row>
    <row r="130" ht="30" customHeight="1">
      <c r="A130" s="8" t="n">
        <v>128</v>
      </c>
      <c r="B130" s="10" t="inlineStr">
        <is>
          <t>Aviation</t>
        </is>
      </c>
      <c r="C130" s="10" t="inlineStr">
        <is>
          <t>Sheikh Abdullah Bin Mohammad Al Thani</t>
        </is>
      </c>
      <c r="D130" s="10" t="inlineStr">
        <is>
          <t>Chairman</t>
        </is>
      </c>
      <c r="E130" s="10" t="inlineStr">
        <is>
          <t>Air Arabia</t>
        </is>
      </c>
      <c r="F130" s="10" t="inlineStr">
        <is>
          <t>BAE</t>
        </is>
      </c>
      <c r="G130" s="8" t="inlineStr">
        <is>
          <t>Düşük (royal/sahip)</t>
        </is>
      </c>
      <c r="H130" s="11">
        <f>HYPERLINK("https://www.linkedin.com/search/results/people/?keywords=Abdullah%20Bin%20Mohammad%20Al%20Thani%20Air%20Arabia","LinkedIn'de bul")</f>
        <v/>
      </c>
      <c r="I130" s="11">
        <f>HYPERLINK("https://www.airarabia.com","airarabia.com")</f>
        <v/>
      </c>
      <c r="J130" s="10" t="inlineStr"/>
      <c r="K130" s="11">
        <f>HYPERLINK("https://www.airarabia.com/en/board-directors","Kaynak")</f>
        <v/>
      </c>
    </row>
    <row r="131" ht="30" customHeight="1">
      <c r="A131" s="8" t="n">
        <v>129</v>
      </c>
      <c r="B131" s="10" t="inlineStr">
        <is>
          <t>Aviation</t>
        </is>
      </c>
      <c r="C131" s="10" t="inlineStr">
        <is>
          <t>Adel Abdullah Ali</t>
        </is>
      </c>
      <c r="D131" s="10" t="inlineStr">
        <is>
          <t>Group CEO</t>
        </is>
      </c>
      <c r="E131" s="10" t="inlineStr">
        <is>
          <t>Air Arabia</t>
        </is>
      </c>
      <c r="F131" s="10" t="inlineStr">
        <is>
          <t>BAE</t>
        </is>
      </c>
      <c r="G131" s="15" t="inlineStr">
        <is>
          <t>Yüksek (profesyonel)</t>
        </is>
      </c>
      <c r="H131" s="11">
        <f>HYPERLINK("https://www.linkedin.com/search/results/people/?keywords=Adel%20Abdullah%20Ali%20Air%20Arabia","LinkedIn'de bul")</f>
        <v/>
      </c>
      <c r="I131" s="11">
        <f>HYPERLINK("https://www.airarabia.com","airarabia.com")</f>
        <v/>
      </c>
      <c r="J131" s="10" t="inlineStr"/>
      <c r="K131" s="11">
        <f>HYPERLINK("https://www.airarabia.com/en/group-ceo","Kaynak")</f>
        <v/>
      </c>
    </row>
    <row r="132" ht="30" customHeight="1">
      <c r="A132" s="8" t="n">
        <v>130</v>
      </c>
      <c r="B132" s="10" t="inlineStr">
        <is>
          <t>Aviation</t>
        </is>
      </c>
      <c r="C132" s="10" t="inlineStr">
        <is>
          <t>Adel Ahmad Al Soori</t>
        </is>
      </c>
      <c r="D132" s="10" t="inlineStr">
        <is>
          <t>Group CFO</t>
        </is>
      </c>
      <c r="E132" s="10" t="inlineStr">
        <is>
          <t>Emirates Airline</t>
        </is>
      </c>
      <c r="F132" s="10" t="inlineStr">
        <is>
          <t>BAE</t>
        </is>
      </c>
      <c r="G132" s="15" t="inlineStr">
        <is>
          <t>Yüksek (profesyonel)</t>
        </is>
      </c>
      <c r="H132" s="11">
        <f>HYPERLINK("https://www.linkedin.com/search/results/people/?keywords=Adel%20Al%20Soori%20Emirates","LinkedIn'de bul")</f>
        <v/>
      </c>
      <c r="I132" s="11">
        <f>HYPERLINK("https://www.emirates.com","emirates.com")</f>
        <v/>
      </c>
      <c r="J132" s="10" t="inlineStr"/>
      <c r="K132" s="11">
        <f>HYPERLINK("https://www.emirates.com/english/about-us/our-people/leadership-team/","Kaynak")</f>
        <v/>
      </c>
    </row>
    <row r="133" ht="30" customHeight="1">
      <c r="A133" s="8" t="n">
        <v>131</v>
      </c>
      <c r="B133" s="10" t="inlineStr">
        <is>
          <t>Aviation</t>
        </is>
      </c>
      <c r="C133" s="10" t="inlineStr">
        <is>
          <t>Mohamed Mubarak Al Mazrouei</t>
        </is>
      </c>
      <c r="D133" s="10" t="inlineStr">
        <is>
          <t>Chairman</t>
        </is>
      </c>
      <c r="E133" s="10" t="inlineStr">
        <is>
          <t>Etihad Airways</t>
        </is>
      </c>
      <c r="F133" s="10" t="inlineStr">
        <is>
          <t>BAE</t>
        </is>
      </c>
      <c r="G133" s="8" t="inlineStr">
        <is>
          <t>Orta (başkan)</t>
        </is>
      </c>
      <c r="H133" s="11">
        <f>HYPERLINK("https://www.linkedin.com/search/results/people/?keywords=Mohamed%20Al%20Mazrouei%20Etihad","LinkedIn'de bul")</f>
        <v/>
      </c>
      <c r="I133" s="11">
        <f>HYPERLINK("https://www.etihad.com","etihad.com")</f>
        <v/>
      </c>
      <c r="J133" s="10" t="inlineStr"/>
      <c r="K133" s="11">
        <f>HYPERLINK("https://www.etihad.com/en/about-us/leadership","Kaynak")</f>
        <v/>
      </c>
    </row>
    <row r="134" ht="30" customHeight="1">
      <c r="A134" s="8" t="n">
        <v>132</v>
      </c>
      <c r="B134" s="10" t="inlineStr">
        <is>
          <t>Aviation</t>
        </is>
      </c>
      <c r="C134" s="10" t="inlineStr">
        <is>
          <t>Antonoaldo Neves</t>
        </is>
      </c>
      <c r="D134" s="10" t="inlineStr">
        <is>
          <t>CEO</t>
        </is>
      </c>
      <c r="E134" s="10" t="inlineStr">
        <is>
          <t>Etihad Airways</t>
        </is>
      </c>
      <c r="F134" s="10" t="inlineStr">
        <is>
          <t>BAE</t>
        </is>
      </c>
      <c r="G134" s="15" t="inlineStr">
        <is>
          <t>Yüksek (profesyonel)</t>
        </is>
      </c>
      <c r="H134" s="11">
        <f>HYPERLINK("https://www.linkedin.com/search/results/people/?keywords=Antonoaldo%20Neves%20Etihad","LinkedIn'de bul")</f>
        <v/>
      </c>
      <c r="I134" s="11">
        <f>HYPERLINK("https://www.etihad.com","etihad.com")</f>
        <v/>
      </c>
      <c r="J134" s="10" t="inlineStr"/>
      <c r="K134" s="11">
        <f>HYPERLINK("https://www.etihad.com/en/about-us/leadership","Kaynak")</f>
        <v/>
      </c>
    </row>
    <row r="135" ht="30" customHeight="1">
      <c r="A135" s="8" t="n">
        <v>133</v>
      </c>
      <c r="B135" s="10" t="inlineStr">
        <is>
          <t>Aviation</t>
        </is>
      </c>
      <c r="C135" s="10" t="inlineStr">
        <is>
          <t>Raffael Quintas</t>
        </is>
      </c>
      <c r="D135" s="10" t="inlineStr">
        <is>
          <t>CFO</t>
        </is>
      </c>
      <c r="E135" s="10" t="inlineStr">
        <is>
          <t>Etihad Airways</t>
        </is>
      </c>
      <c r="F135" s="10" t="inlineStr">
        <is>
          <t>BAE</t>
        </is>
      </c>
      <c r="G135" s="15" t="inlineStr">
        <is>
          <t>Yüksek (profesyonel)</t>
        </is>
      </c>
      <c r="H135" s="11">
        <f>HYPERLINK("https://www.linkedin.com/search/results/people/?keywords=Raffael%20Quintas%20Etihad","LinkedIn'de bul")</f>
        <v/>
      </c>
      <c r="I135" s="11">
        <f>HYPERLINK("https://www.etihad.com","etihad.com")</f>
        <v/>
      </c>
      <c r="J135" s="10" t="inlineStr"/>
      <c r="K135" s="11">
        <f>HYPERLINK("https://www.etihad.com/en/news/etihad-airways-appoints-raffael-quintas-as-chief-financial-officer","Kaynak")</f>
        <v/>
      </c>
    </row>
    <row r="136" ht="30" customHeight="1">
      <c r="A136" s="8" t="n">
        <v>134</v>
      </c>
      <c r="B136" s="10" t="inlineStr">
        <is>
          <t>Investment Holding</t>
        </is>
      </c>
      <c r="C136" s="10" t="inlineStr">
        <is>
          <t>Hamad Salem Al Ameri</t>
        </is>
      </c>
      <c r="D136" s="10" t="inlineStr">
        <is>
          <t>MD &amp; Group CEO</t>
        </is>
      </c>
      <c r="E136" s="10" t="inlineStr">
        <is>
          <t>Alpha Dhabi Holding</t>
        </is>
      </c>
      <c r="F136" s="10" t="inlineStr">
        <is>
          <t>BAE</t>
        </is>
      </c>
      <c r="G136" s="15" t="inlineStr">
        <is>
          <t>Yüksek (profesyonel)</t>
        </is>
      </c>
      <c r="H136" s="11">
        <f>HYPERLINK("https://www.linkedin.com/search/results/people/?keywords=Hamad%20Al%20Ameri%20Alpha%20Dhabi","LinkedIn'de bul")</f>
        <v/>
      </c>
      <c r="I136" s="11">
        <f>HYPERLINK("https://alphadhabi.com","alphadhabi.com")</f>
        <v/>
      </c>
      <c r="J136" s="10" t="inlineStr"/>
      <c r="K136" s="11">
        <f>HYPERLINK("https://alphadhabi.com/leadership/","Kaynak")</f>
        <v/>
      </c>
    </row>
    <row r="137" ht="30" customHeight="1">
      <c r="A137" s="8" t="n">
        <v>135</v>
      </c>
      <c r="B137" s="10" t="inlineStr">
        <is>
          <t>Investment Holding</t>
        </is>
      </c>
      <c r="C137" s="10" t="inlineStr">
        <is>
          <t>Fadi Sleiman</t>
        </is>
      </c>
      <c r="D137" s="10" t="inlineStr">
        <is>
          <t>Group CFO</t>
        </is>
      </c>
      <c r="E137" s="10" t="inlineStr">
        <is>
          <t>Alpha Dhabi Holding</t>
        </is>
      </c>
      <c r="F137" s="10" t="inlineStr">
        <is>
          <t>BAE</t>
        </is>
      </c>
      <c r="G137" s="15" t="inlineStr">
        <is>
          <t>Yüksek (profesyonel)</t>
        </is>
      </c>
      <c r="H137" s="11">
        <f>HYPERLINK("https://www.linkedin.com/search/results/people/?keywords=Fadi%20Sleiman%20Alpha%20Dhabi","LinkedIn'de bul")</f>
        <v/>
      </c>
      <c r="I137" s="11">
        <f>HYPERLINK("https://alphadhabi.com","alphadhabi.com")</f>
        <v/>
      </c>
      <c r="J137" s="10" t="inlineStr"/>
      <c r="K137" s="11">
        <f>HYPERLINK("https://alphadhabi.com/leadership/","Kaynak")</f>
        <v/>
      </c>
    </row>
    <row r="138" ht="30" customHeight="1">
      <c r="A138" s="8" t="n">
        <v>136</v>
      </c>
      <c r="B138" s="10" t="inlineStr">
        <is>
          <t>Investment Holding</t>
        </is>
      </c>
      <c r="C138" s="10" t="inlineStr">
        <is>
          <t>Samia Bouazza</t>
        </is>
      </c>
      <c r="D138" s="10" t="inlineStr">
        <is>
          <t>Group CEO &amp; MD</t>
        </is>
      </c>
      <c r="E138" s="10" t="inlineStr">
        <is>
          <t>Multiply Group</t>
        </is>
      </c>
      <c r="F138" s="10" t="inlineStr">
        <is>
          <t>BAE</t>
        </is>
      </c>
      <c r="G138" s="15" t="inlineStr">
        <is>
          <t>Yüksek (profesyonel)</t>
        </is>
      </c>
      <c r="H138" s="11">
        <f>HYPERLINK("https://www.linkedin.com/search/results/people/?keywords=Samia%20Bouazza%20Multiply%20Group","LinkedIn'de bul")</f>
        <v/>
      </c>
      <c r="I138" s="11">
        <f>HYPERLINK("https://2pointzero.com","2pointzero.com")</f>
        <v/>
      </c>
      <c r="J138" s="10" t="inlineStr"/>
      <c r="K138" s="11">
        <f>HYPERLINK("https://2pointzero.com/who-we-are","Kaynak")</f>
        <v/>
      </c>
    </row>
    <row r="139" ht="30" customHeight="1">
      <c r="A139" s="8" t="n">
        <v>137</v>
      </c>
      <c r="B139" s="10" t="inlineStr">
        <is>
          <t>Technology</t>
        </is>
      </c>
      <c r="C139" s="10" t="inlineStr">
        <is>
          <t>Thomas Pramotedham</t>
        </is>
      </c>
      <c r="D139" s="10" t="inlineStr">
        <is>
          <t>CEO</t>
        </is>
      </c>
      <c r="E139" s="10" t="inlineStr">
        <is>
          <t>Presight AI</t>
        </is>
      </c>
      <c r="F139" s="10" t="inlineStr">
        <is>
          <t>BAE</t>
        </is>
      </c>
      <c r="G139" s="15" t="inlineStr">
        <is>
          <t>Yüksek (profesyonel)</t>
        </is>
      </c>
      <c r="H139" s="11">
        <f>HYPERLINK("https://www.linkedin.com/search/results/people/?keywords=Thomas%20Pramotedham%20Presight","LinkedIn'de bul")</f>
        <v/>
      </c>
      <c r="I139" s="11">
        <f>HYPERLINK("https://www.presight.ai","presight.ai")</f>
        <v/>
      </c>
      <c r="J139" s="10" t="inlineStr"/>
      <c r="K139" s="11">
        <f>HYPERLINK("https://www.presight.ai/leadership","Kaynak")</f>
        <v/>
      </c>
    </row>
    <row r="140" ht="30" customHeight="1">
      <c r="A140" s="8" t="n">
        <v>138</v>
      </c>
      <c r="B140" s="10" t="inlineStr">
        <is>
          <t>Technology</t>
        </is>
      </c>
      <c r="C140" s="10" t="inlineStr">
        <is>
          <t>Mauro Pavanello</t>
        </is>
      </c>
      <c r="D140" s="10" t="inlineStr">
        <is>
          <t>CFO</t>
        </is>
      </c>
      <c r="E140" s="10" t="inlineStr">
        <is>
          <t>Presight AI</t>
        </is>
      </c>
      <c r="F140" s="10" t="inlineStr">
        <is>
          <t>BAE</t>
        </is>
      </c>
      <c r="G140" s="15" t="inlineStr">
        <is>
          <t>Yüksek (profesyonel)</t>
        </is>
      </c>
      <c r="H140" s="11">
        <f>HYPERLINK("https://www.linkedin.com/search/results/people/?keywords=Mauro%20Pavanello%20Presight","LinkedIn'de bul")</f>
        <v/>
      </c>
      <c r="I140" s="11">
        <f>HYPERLINK("https://www.presight.ai","presight.ai")</f>
        <v/>
      </c>
      <c r="J140" s="10" t="inlineStr"/>
      <c r="K140" s="11">
        <f>HYPERLINK("https://www.presight.ai/leadership","Kaynak")</f>
        <v/>
      </c>
    </row>
    <row r="141" ht="30" customHeight="1">
      <c r="A141" s="8" t="n">
        <v>139</v>
      </c>
      <c r="B141" s="10" t="inlineStr">
        <is>
          <t>Luxury Retail</t>
        </is>
      </c>
      <c r="C141" s="10" t="inlineStr">
        <is>
          <t>Patrick Chalhoub</t>
        </is>
      </c>
      <c r="D141" s="10" t="inlineStr">
        <is>
          <t>Executive Chairman</t>
        </is>
      </c>
      <c r="E141" s="10" t="inlineStr">
        <is>
          <t>Chalhoub Group</t>
        </is>
      </c>
      <c r="F141" s="10" t="inlineStr">
        <is>
          <t>BAE</t>
        </is>
      </c>
      <c r="G141" s="8" t="inlineStr">
        <is>
          <t>Orta (başkan)</t>
        </is>
      </c>
      <c r="H141" s="11">
        <f>HYPERLINK("https://www.linkedin.com/search/results/people/?keywords=Patrick%20Chalhoub%20Chalhoub%20Group","LinkedIn'de bul")</f>
        <v/>
      </c>
      <c r="I141" s="11">
        <f>HYPERLINK("https://www.chalhoubgroup.com","chalhoubgroup.com")</f>
        <v/>
      </c>
      <c r="J141" s="10" t="inlineStr"/>
      <c r="K141" s="11">
        <f>HYPERLINK("https://www.chalhoubgroup.com/en/leadership","Kaynak")</f>
        <v/>
      </c>
    </row>
    <row r="142" ht="30" customHeight="1">
      <c r="A142" s="8" t="n">
        <v>140</v>
      </c>
      <c r="B142" s="10" t="inlineStr">
        <is>
          <t>Luxury Retail</t>
        </is>
      </c>
      <c r="C142" s="10" t="inlineStr">
        <is>
          <t>Michael Chalhoub</t>
        </is>
      </c>
      <c r="D142" s="10" t="inlineStr">
        <is>
          <t>CEO</t>
        </is>
      </c>
      <c r="E142" s="10" t="inlineStr">
        <is>
          <t>Chalhoub Group</t>
        </is>
      </c>
      <c r="F142" s="10" t="inlineStr">
        <is>
          <t>BAE</t>
        </is>
      </c>
      <c r="G142" s="15" t="inlineStr">
        <is>
          <t>Yüksek (profesyonel)</t>
        </is>
      </c>
      <c r="H142" s="11">
        <f>HYPERLINK("https://ae.linkedin.com/in/michaelchalhoub","LinkedIn profili")</f>
        <v/>
      </c>
      <c r="I142" s="11">
        <f>HYPERLINK("https://www.chalhoubgroup.com","chalhoubgroup.com")</f>
        <v/>
      </c>
      <c r="J142" s="10" t="inlineStr"/>
      <c r="K142" s="11">
        <f>HYPERLINK("https://www.chalhoubgroup.com/en/leadership","Kaynak")</f>
        <v/>
      </c>
    </row>
    <row r="143" ht="30" customHeight="1">
      <c r="A143" s="8" t="n">
        <v>141</v>
      </c>
      <c r="B143" s="10" t="inlineStr">
        <is>
          <t>Luxury Retail</t>
        </is>
      </c>
      <c r="C143" s="10" t="inlineStr">
        <is>
          <t>Tracey Griffin</t>
        </is>
      </c>
      <c r="D143" s="10" t="inlineStr">
        <is>
          <t>CFO</t>
        </is>
      </c>
      <c r="E143" s="10" t="inlineStr">
        <is>
          <t>Chalhoub Group</t>
        </is>
      </c>
      <c r="F143" s="10" t="inlineStr">
        <is>
          <t>BAE</t>
        </is>
      </c>
      <c r="G143" s="15" t="inlineStr">
        <is>
          <t>Yüksek (profesyonel)</t>
        </is>
      </c>
      <c r="H143" s="11">
        <f>HYPERLINK("https://www.linkedin.com/search/results/people/?keywords=Tracey%20Griffin%20Chalhoub%20Group","LinkedIn'de bul")</f>
        <v/>
      </c>
      <c r="I143" s="11">
        <f>HYPERLINK("https://www.chalhoubgroup.com","chalhoubgroup.com")</f>
        <v/>
      </c>
      <c r="J143" s="10" t="inlineStr"/>
      <c r="K143" s="11">
        <f>HYPERLINK("https://www.chalhoubgroup.com/en/leadership","Kaynak")</f>
        <v/>
      </c>
    </row>
    <row r="144" ht="30" customHeight="1">
      <c r="A144" s="8" t="n">
        <v>142</v>
      </c>
      <c r="B144" s="10" t="inlineStr">
        <is>
          <t>Banking</t>
        </is>
      </c>
      <c r="C144" s="10" t="inlineStr">
        <is>
          <t>Ali bin Ahmed Al-Kuwari</t>
        </is>
      </c>
      <c r="D144" s="10" t="inlineStr">
        <is>
          <t>Chairman</t>
        </is>
      </c>
      <c r="E144" s="10" t="inlineStr">
        <is>
          <t>Qatar National Bank (QNB)</t>
        </is>
      </c>
      <c r="F144" s="10" t="inlineStr">
        <is>
          <t>Katar</t>
        </is>
      </c>
      <c r="G144" s="8" t="inlineStr">
        <is>
          <t>Orta (başkan)</t>
        </is>
      </c>
      <c r="H144" s="11">
        <f>HYPERLINK("https://www.linkedin.com/search/results/people/?keywords=Ali%20Al-Kuwari%20QNB","LinkedIn'de bul")</f>
        <v/>
      </c>
      <c r="I144" s="11">
        <f>HYPERLINK("https://www.qnb.com","qnb.com")</f>
        <v/>
      </c>
      <c r="J144" s="10" t="inlineStr"/>
      <c r="K144" s="11">
        <f>HYPERLINK("https://www.qnb.com/cs/Satellite/QNBQatar/en_QA/enAboutQNBBoardofDirectors","Kaynak")</f>
        <v/>
      </c>
    </row>
    <row r="145" ht="30" customHeight="1">
      <c r="A145" s="8" t="n">
        <v>143</v>
      </c>
      <c r="B145" s="10" t="inlineStr">
        <is>
          <t>Banking</t>
        </is>
      </c>
      <c r="C145" s="10" t="inlineStr">
        <is>
          <t>Abdulla Mubarak Al-Khalifa</t>
        </is>
      </c>
      <c r="D145" s="10" t="inlineStr">
        <is>
          <t>Group CEO</t>
        </is>
      </c>
      <c r="E145" s="10" t="inlineStr">
        <is>
          <t>Qatar National Bank (QNB)</t>
        </is>
      </c>
      <c r="F145" s="10" t="inlineStr">
        <is>
          <t>Katar</t>
        </is>
      </c>
      <c r="G145" s="15" t="inlineStr">
        <is>
          <t>Yüksek (profesyonel)</t>
        </is>
      </c>
      <c r="H145" s="11">
        <f>HYPERLINK("https://www.linkedin.com/search/results/people/?keywords=Abdulla%20Mubarak%20Al-Khalifa%20QNB","LinkedIn'de bul")</f>
        <v/>
      </c>
      <c r="I145" s="11">
        <f>HYPERLINK("https://www.qnb.com","qnb.com")</f>
        <v/>
      </c>
      <c r="J145" s="10" t="inlineStr"/>
      <c r="K145" s="11">
        <f>HYPERLINK("https://www.qnb.com/cs/Satellite/QNBQatar/en_QA/enAboutQNBExecutiveManagement","Kaynak")</f>
        <v/>
      </c>
    </row>
    <row r="146" ht="30" customHeight="1">
      <c r="A146" s="8" t="n">
        <v>144</v>
      </c>
      <c r="B146" s="10" t="inlineStr">
        <is>
          <t>Banking</t>
        </is>
      </c>
      <c r="C146" s="10" t="inlineStr">
        <is>
          <t>Ramzi Talat Mari</t>
        </is>
      </c>
      <c r="D146" s="10" t="inlineStr">
        <is>
          <t>Group CFO</t>
        </is>
      </c>
      <c r="E146" s="10" t="inlineStr">
        <is>
          <t>Qatar National Bank (QNB)</t>
        </is>
      </c>
      <c r="F146" s="10" t="inlineStr">
        <is>
          <t>Katar</t>
        </is>
      </c>
      <c r="G146" s="15" t="inlineStr">
        <is>
          <t>Yüksek (profesyonel)</t>
        </is>
      </c>
      <c r="H146" s="11">
        <f>HYPERLINK("https://www.linkedin.com/search/results/people/?keywords=Ramzi%20Mari%20QNB","LinkedIn'de bul")</f>
        <v/>
      </c>
      <c r="I146" s="11">
        <f>HYPERLINK("https://www.qnb.com","qnb.com")</f>
        <v/>
      </c>
      <c r="J146" s="10" t="inlineStr"/>
      <c r="K146" s="11">
        <f>HYPERLINK("https://www.qnb.com/cs/Satellite/QNBQatar/en_QA/enAboutQNBExecutiveManagement","Kaynak")</f>
        <v/>
      </c>
    </row>
    <row r="147" ht="30" customHeight="1">
      <c r="A147" s="8" t="n">
        <v>145</v>
      </c>
      <c r="B147" s="10" t="inlineStr">
        <is>
          <t>Banking</t>
        </is>
      </c>
      <c r="C147" s="10" t="inlineStr">
        <is>
          <t>Sheikh Abdulla bin Ali Al Thani</t>
        </is>
      </c>
      <c r="D147" s="10" t="inlineStr">
        <is>
          <t>Chairman</t>
        </is>
      </c>
      <c r="E147" s="10" t="inlineStr">
        <is>
          <t>Commercial Bank of Qatar</t>
        </is>
      </c>
      <c r="F147" s="10" t="inlineStr">
        <is>
          <t>Katar</t>
        </is>
      </c>
      <c r="G147" s="8" t="inlineStr">
        <is>
          <t>Düşük (royal/sahip)</t>
        </is>
      </c>
      <c r="H147" s="11">
        <f>HYPERLINK("https://www.linkedin.com/search/results/people/?keywords=Abdulla%20bin%20Ali%20Al%20Thani%20Commercial%20Bank%20Qatar","LinkedIn'de bul")</f>
        <v/>
      </c>
      <c r="I147" s="11">
        <f>HYPERLINK("https://www.cbq.qa","cbq.qa")</f>
        <v/>
      </c>
      <c r="J147" s="10" t="inlineStr"/>
      <c r="K147" s="11">
        <f>HYPERLINK("https://www.cbq.qa/en/investor-relations/corporate-governance/board-of-directors","Kaynak")</f>
        <v/>
      </c>
    </row>
    <row r="148" ht="30" customHeight="1">
      <c r="A148" s="8" t="n">
        <v>146</v>
      </c>
      <c r="B148" s="10" t="inlineStr">
        <is>
          <t>Banking</t>
        </is>
      </c>
      <c r="C148" s="10" t="inlineStr">
        <is>
          <t>Stephen Moss</t>
        </is>
      </c>
      <c r="D148" s="10" t="inlineStr">
        <is>
          <t>Group CEO</t>
        </is>
      </c>
      <c r="E148" s="10" t="inlineStr">
        <is>
          <t>Commercial Bank of Qatar</t>
        </is>
      </c>
      <c r="F148" s="10" t="inlineStr">
        <is>
          <t>Katar</t>
        </is>
      </c>
      <c r="G148" s="15" t="inlineStr">
        <is>
          <t>Yüksek (profesyonel)</t>
        </is>
      </c>
      <c r="H148" s="11">
        <f>HYPERLINK("https://www.linkedin.com/search/results/people/?keywords=Stephen%20Moss%20Commercial%20Bank%20Qatar","LinkedIn'de bul")</f>
        <v/>
      </c>
      <c r="I148" s="11">
        <f>HYPERLINK("https://www.cbq.qa","cbq.qa")</f>
        <v/>
      </c>
      <c r="J148" s="10" t="inlineStr"/>
      <c r="K148" s="11">
        <f>HYPERLINK("https://www.cbq.qa/en/about-us/news/list/commercial-bank-appoints-stephen-moss-as-group-chief-executive-officer","Kaynak")</f>
        <v/>
      </c>
    </row>
    <row r="149" ht="30" customHeight="1">
      <c r="A149" s="8" t="n">
        <v>147</v>
      </c>
      <c r="B149" s="10" t="inlineStr">
        <is>
          <t>Banking</t>
        </is>
      </c>
      <c r="C149" s="10" t="inlineStr">
        <is>
          <t>Noman Ali</t>
        </is>
      </c>
      <c r="D149" s="10" t="inlineStr">
        <is>
          <t>CFO</t>
        </is>
      </c>
      <c r="E149" s="10" t="inlineStr">
        <is>
          <t>Commercial Bank of Qatar</t>
        </is>
      </c>
      <c r="F149" s="10" t="inlineStr">
        <is>
          <t>Katar</t>
        </is>
      </c>
      <c r="G149" s="15" t="inlineStr">
        <is>
          <t>Yüksek (profesyonel)</t>
        </is>
      </c>
      <c r="H149" s="11">
        <f>HYPERLINK("https://www.linkedin.com/search/results/people/?keywords=Noman%20Ali%20Commercial%20Bank%20Qatar","LinkedIn'de bul")</f>
        <v/>
      </c>
      <c r="I149" s="11">
        <f>HYPERLINK("https://www.cbq.qa","cbq.qa")</f>
        <v/>
      </c>
      <c r="J149" s="10" t="inlineStr"/>
      <c r="K149" s="11">
        <f>HYPERLINK("https://www.cbq.qa/en/about-us/executive-management","Kaynak")</f>
        <v/>
      </c>
    </row>
    <row r="150" ht="30" customHeight="1">
      <c r="A150" s="8" t="n">
        <v>148</v>
      </c>
      <c r="B150" s="10" t="inlineStr">
        <is>
          <t>Islamic Banking</t>
        </is>
      </c>
      <c r="C150" s="10" t="inlineStr">
        <is>
          <t>Sheikh Jassim bin Hamad Al Thani</t>
        </is>
      </c>
      <c r="D150" s="10" t="inlineStr">
        <is>
          <t>Chairman</t>
        </is>
      </c>
      <c r="E150" s="10" t="inlineStr">
        <is>
          <t>Qatar Islamic Bank (QIB)</t>
        </is>
      </c>
      <c r="F150" s="10" t="inlineStr">
        <is>
          <t>Katar</t>
        </is>
      </c>
      <c r="G150" s="8" t="inlineStr">
        <is>
          <t>Düşük (royal/sahip)</t>
        </is>
      </c>
      <c r="H150" s="11">
        <f>HYPERLINK("https://www.linkedin.com/search/results/people/?keywords=Jassim%20bin%20Hamad%20Al%20Thani%20Qatar%20Islamic%20Bank","LinkedIn'de bul")</f>
        <v/>
      </c>
      <c r="I150" s="11">
        <f>HYPERLINK("https://www.qib.com.qa","qib.com.qa")</f>
        <v/>
      </c>
      <c r="J150" s="10" t="inlineStr"/>
      <c r="K150" s="11">
        <f>HYPERLINK("https://www.qib.com.qa/en/board-of-directors/","Kaynak")</f>
        <v/>
      </c>
    </row>
    <row r="151" ht="30" customHeight="1">
      <c r="A151" s="8" t="n">
        <v>149</v>
      </c>
      <c r="B151" s="10" t="inlineStr">
        <is>
          <t>Islamic Banking</t>
        </is>
      </c>
      <c r="C151" s="10" t="inlineStr">
        <is>
          <t>Bassel Gamal</t>
        </is>
      </c>
      <c r="D151" s="10" t="inlineStr">
        <is>
          <t>Group CEO</t>
        </is>
      </c>
      <c r="E151" s="10" t="inlineStr">
        <is>
          <t>Qatar Islamic Bank (QIB)</t>
        </is>
      </c>
      <c r="F151" s="10" t="inlineStr">
        <is>
          <t>Katar</t>
        </is>
      </c>
      <c r="G151" s="15" t="inlineStr">
        <is>
          <t>Yüksek (profesyonel)</t>
        </is>
      </c>
      <c r="H151" s="11">
        <f>HYPERLINK("https://www.linkedin.com/search/results/people/?keywords=Bassel%20Gamal%20Qatar%20Islamic%20Bank","LinkedIn'de bul")</f>
        <v/>
      </c>
      <c r="I151" s="11">
        <f>HYPERLINK("https://www.qib.com.qa","qib.com.qa")</f>
        <v/>
      </c>
      <c r="J151" s="10" t="inlineStr"/>
      <c r="K151" s="11">
        <f>HYPERLINK("https://www.qib.com.qa/en/senior-management/","Kaynak")</f>
        <v/>
      </c>
    </row>
    <row r="152" ht="30" customHeight="1">
      <c r="A152" s="8" t="n">
        <v>150</v>
      </c>
      <c r="B152" s="10" t="inlineStr">
        <is>
          <t>Islamic Banking</t>
        </is>
      </c>
      <c r="C152" s="10" t="inlineStr">
        <is>
          <t>Gourang Hemani</t>
        </is>
      </c>
      <c r="D152" s="10" t="inlineStr">
        <is>
          <t>CFO</t>
        </is>
      </c>
      <c r="E152" s="10" t="inlineStr">
        <is>
          <t>Qatar Islamic Bank (QIB)</t>
        </is>
      </c>
      <c r="F152" s="10" t="inlineStr">
        <is>
          <t>Katar</t>
        </is>
      </c>
      <c r="G152" s="15" t="inlineStr">
        <is>
          <t>Yüksek (profesyonel)</t>
        </is>
      </c>
      <c r="H152" s="11">
        <f>HYPERLINK("https://www.linkedin.com/search/results/people/?keywords=Gourang%20Hemani%20Qatar%20Islamic%20Bank","LinkedIn'de bul")</f>
        <v/>
      </c>
      <c r="I152" s="11">
        <f>HYPERLINK("https://www.qib.com.qa","qib.com.qa")</f>
        <v/>
      </c>
      <c r="J152" s="10" t="inlineStr"/>
      <c r="K152" s="11">
        <f>HYPERLINK("https://www.qib.com.qa/en/senior-management/","Kaynak")</f>
        <v/>
      </c>
    </row>
    <row r="153" ht="30" customHeight="1">
      <c r="A153" s="8" t="n">
        <v>151</v>
      </c>
      <c r="B153" s="10" t="inlineStr">
        <is>
          <t>Islamic Banking</t>
        </is>
      </c>
      <c r="C153" s="10" t="inlineStr">
        <is>
          <t>Sheikh Mohamed bin Hamad Al Thani</t>
        </is>
      </c>
      <c r="D153" s="10" t="inlineStr">
        <is>
          <t>Chairman</t>
        </is>
      </c>
      <c r="E153" s="10" t="inlineStr">
        <is>
          <t>Masraf Al Rayan</t>
        </is>
      </c>
      <c r="F153" s="10" t="inlineStr">
        <is>
          <t>Katar</t>
        </is>
      </c>
      <c r="G153" s="8" t="inlineStr">
        <is>
          <t>Düşük (royal/sahip)</t>
        </is>
      </c>
      <c r="H153" s="11">
        <f>HYPERLINK("https://www.linkedin.com/search/results/people/?keywords=Mohamed%20bin%20Hamad%20Al%20Thani%20Masraf%20Al%20Rayan","LinkedIn'de bul")</f>
        <v/>
      </c>
      <c r="I153" s="11">
        <f>HYPERLINK("https://www.alrayan.com","alrayan.com")</f>
        <v/>
      </c>
      <c r="J153" s="10" t="inlineStr"/>
      <c r="K153" s="11">
        <f>HYPERLINK("https://www.alrayan.com/en/about-us/board","Kaynak")</f>
        <v/>
      </c>
    </row>
    <row r="154" ht="30" customHeight="1">
      <c r="A154" s="8" t="n">
        <v>152</v>
      </c>
      <c r="B154" s="10" t="inlineStr">
        <is>
          <t>Islamic Banking</t>
        </is>
      </c>
      <c r="C154" s="10" t="inlineStr">
        <is>
          <t>Fahad Abdulla Al Khalifa</t>
        </is>
      </c>
      <c r="D154" s="10" t="inlineStr">
        <is>
          <t>Group CEO</t>
        </is>
      </c>
      <c r="E154" s="10" t="inlineStr">
        <is>
          <t>Masraf Al Rayan</t>
        </is>
      </c>
      <c r="F154" s="10" t="inlineStr">
        <is>
          <t>Katar</t>
        </is>
      </c>
      <c r="G154" s="15" t="inlineStr">
        <is>
          <t>Yüksek (profesyonel)</t>
        </is>
      </c>
      <c r="H154" s="11">
        <f>HYPERLINK("https://www.linkedin.com/search/results/people/?keywords=Fahad%20Al%20Khalifa%20Masraf%20Al%20Rayan","LinkedIn'de bul")</f>
        <v/>
      </c>
      <c r="I154" s="11">
        <f>HYPERLINK("https://www.alrayan.com","alrayan.com")</f>
        <v/>
      </c>
      <c r="J154" s="10" t="inlineStr"/>
      <c r="K154" s="11">
        <f>HYPERLINK("https://www.alrayan.com/en/about-us/management","Kaynak")</f>
        <v/>
      </c>
    </row>
    <row r="155" ht="30" customHeight="1">
      <c r="A155" s="8" t="n">
        <v>153</v>
      </c>
      <c r="B155" s="10" t="inlineStr">
        <is>
          <t>Islamic Banking</t>
        </is>
      </c>
      <c r="C155" s="10" t="inlineStr">
        <is>
          <t>Saalim Mahmood</t>
        </is>
      </c>
      <c r="D155" s="10" t="inlineStr">
        <is>
          <t>CFSO (CFO)</t>
        </is>
      </c>
      <c r="E155" s="10" t="inlineStr">
        <is>
          <t>Masraf Al Rayan</t>
        </is>
      </c>
      <c r="F155" s="10" t="inlineStr">
        <is>
          <t>Katar</t>
        </is>
      </c>
      <c r="G155" s="15" t="inlineStr">
        <is>
          <t>Yüksek (profesyonel)</t>
        </is>
      </c>
      <c r="H155" s="11">
        <f>HYPERLINK("https://www.linkedin.com/search/results/people/?keywords=Saalim%20Mahmood%20AlRayan%20Bank","LinkedIn'de bul")</f>
        <v/>
      </c>
      <c r="I155" s="11">
        <f>HYPERLINK("https://www.alrayan.com","alrayan.com")</f>
        <v/>
      </c>
      <c r="J155" s="10" t="inlineStr"/>
      <c r="K155" s="11">
        <f>HYPERLINK("https://www.alrayan.com/en/about-us/management","Kaynak")</f>
        <v/>
      </c>
    </row>
    <row r="156" ht="30" customHeight="1">
      <c r="A156" s="8" t="n">
        <v>154</v>
      </c>
      <c r="B156" s="10" t="inlineStr">
        <is>
          <t>Banking</t>
        </is>
      </c>
      <c r="C156" s="10" t="inlineStr">
        <is>
          <t>Sheikh Fahad bin Mohammad Al Thani</t>
        </is>
      </c>
      <c r="D156" s="10" t="inlineStr">
        <is>
          <t>Chairman</t>
        </is>
      </c>
      <c r="E156" s="10" t="inlineStr">
        <is>
          <t>Doha Bank</t>
        </is>
      </c>
      <c r="F156" s="10" t="inlineStr">
        <is>
          <t>Katar</t>
        </is>
      </c>
      <c r="G156" s="8" t="inlineStr">
        <is>
          <t>Düşük (royal/sahip)</t>
        </is>
      </c>
      <c r="H156" s="11">
        <f>HYPERLINK("https://www.linkedin.com/search/results/people/?keywords=Fahad%20bin%20Mohammad%20Al%20Thani%20Doha%20Bank","LinkedIn'de bul")</f>
        <v/>
      </c>
      <c r="I156" s="11">
        <f>HYPERLINK("https://www.dohabank.com","dohabank.com")</f>
        <v/>
      </c>
      <c r="J156" s="10" t="inlineStr"/>
      <c r="K156" s="11">
        <f>HYPERLINK("https://www.dohabank.com/about-us/board-of-directors/","Kaynak")</f>
        <v/>
      </c>
    </row>
    <row r="157" ht="30" customHeight="1">
      <c r="A157" s="8" t="n">
        <v>155</v>
      </c>
      <c r="B157" s="10" t="inlineStr">
        <is>
          <t>Banking</t>
        </is>
      </c>
      <c r="C157" s="10" t="inlineStr">
        <is>
          <t>Sheikh Abdulrahman bin Fahad Al Thani</t>
        </is>
      </c>
      <c r="D157" s="10" t="inlineStr">
        <is>
          <t>Group CEO</t>
        </is>
      </c>
      <c r="E157" s="10" t="inlineStr">
        <is>
          <t>Doha Bank</t>
        </is>
      </c>
      <c r="F157" s="10" t="inlineStr">
        <is>
          <t>Katar</t>
        </is>
      </c>
      <c r="G157" s="15" t="inlineStr">
        <is>
          <t>Yüksek (profesyonel)</t>
        </is>
      </c>
      <c r="H157" s="11">
        <f>HYPERLINK("https://www.linkedin.com/search/results/people/?keywords=Abdulrahman%20bin%20Fahad%20Al%20Thani%20Doha%20Bank","LinkedIn'de bul")</f>
        <v/>
      </c>
      <c r="I157" s="11">
        <f>HYPERLINK("https://www.dohabank.com","dohabank.com")</f>
        <v/>
      </c>
      <c r="J157" s="10" t="inlineStr"/>
      <c r="K157" s="11">
        <f>HYPERLINK("https://www.dohabank.com/about-us/executive-management/","Kaynak")</f>
        <v/>
      </c>
    </row>
    <row r="158" ht="30" customHeight="1">
      <c r="A158" s="8" t="n">
        <v>156</v>
      </c>
      <c r="B158" s="10" t="inlineStr">
        <is>
          <t>Telecom</t>
        </is>
      </c>
      <c r="C158" s="10" t="inlineStr">
        <is>
          <t>Sheikh Faisal bin Thani Al Thani</t>
        </is>
      </c>
      <c r="D158" s="10" t="inlineStr">
        <is>
          <t>Chairman</t>
        </is>
      </c>
      <c r="E158" s="10" t="inlineStr">
        <is>
          <t>Ooredoo</t>
        </is>
      </c>
      <c r="F158" s="10" t="inlineStr">
        <is>
          <t>Katar</t>
        </is>
      </c>
      <c r="G158" s="8" t="inlineStr">
        <is>
          <t>Düşük (royal/sahip)</t>
        </is>
      </c>
      <c r="H158" s="11">
        <f>HYPERLINK("https://www.linkedin.com/search/results/people/?keywords=Faisal%20bin%20Thani%20Al%20Thani%20Ooredoo","LinkedIn'de bul")</f>
        <v/>
      </c>
      <c r="I158" s="11">
        <f>HYPERLINK("https://www.ooredoo.com","ooredoo.com")</f>
        <v/>
      </c>
      <c r="J158" s="10" t="inlineStr"/>
      <c r="K158" s="11">
        <f>HYPERLINK("https://www.ooredoo.com/en/who_we_are/governance_team/board-of-directors/","Kaynak")</f>
        <v/>
      </c>
    </row>
    <row r="159" ht="30" customHeight="1">
      <c r="A159" s="8" t="n">
        <v>157</v>
      </c>
      <c r="B159" s="10" t="inlineStr">
        <is>
          <t>Telecom</t>
        </is>
      </c>
      <c r="C159" s="10" t="inlineStr">
        <is>
          <t>Aziz Aluthman Fakhroo</t>
        </is>
      </c>
      <c r="D159" s="10" t="inlineStr">
        <is>
          <t>MD &amp; Group CEO</t>
        </is>
      </c>
      <c r="E159" s="10" t="inlineStr">
        <is>
          <t>Ooredoo</t>
        </is>
      </c>
      <c r="F159" s="10" t="inlineStr">
        <is>
          <t>Katar</t>
        </is>
      </c>
      <c r="G159" s="15" t="inlineStr">
        <is>
          <t>Yüksek (profesyonel)</t>
        </is>
      </c>
      <c r="H159" s="11">
        <f>HYPERLINK("https://www.linkedin.com/search/results/people/?keywords=Aziz%20Aluthman%20Fakhroo%20Ooredoo","LinkedIn'de bul")</f>
        <v/>
      </c>
      <c r="I159" s="11">
        <f>HYPERLINK("https://www.ooredoo.com","ooredoo.com")</f>
        <v/>
      </c>
      <c r="J159" s="10" t="inlineStr"/>
      <c r="K159" s="11">
        <f>HYPERLINK("https://www.ooredoo.com/en/who_we_are/governance_team/group-executive-management/","Kaynak")</f>
        <v/>
      </c>
    </row>
    <row r="160" ht="30" customHeight="1">
      <c r="A160" s="8" t="n">
        <v>158</v>
      </c>
      <c r="B160" s="10" t="inlineStr">
        <is>
          <t>Telecom</t>
        </is>
      </c>
      <c r="C160" s="10" t="inlineStr">
        <is>
          <t>Abdulla Ahmad Al Zaman</t>
        </is>
      </c>
      <c r="D160" s="10" t="inlineStr">
        <is>
          <t>Group CFO</t>
        </is>
      </c>
      <c r="E160" s="10" t="inlineStr">
        <is>
          <t>Ooredoo</t>
        </is>
      </c>
      <c r="F160" s="10" t="inlineStr">
        <is>
          <t>Katar</t>
        </is>
      </c>
      <c r="G160" s="15" t="inlineStr">
        <is>
          <t>Yüksek (profesyonel)</t>
        </is>
      </c>
      <c r="H160" s="11">
        <f>HYPERLINK("https://www.linkedin.com/search/results/people/?keywords=Abdulla%20Al%20Zaman%20Ooredoo","LinkedIn'de bul")</f>
        <v/>
      </c>
      <c r="I160" s="11">
        <f>HYPERLINK("https://www.ooredoo.com","ooredoo.com")</f>
        <v/>
      </c>
      <c r="J160" s="10" t="inlineStr"/>
      <c r="K160" s="11">
        <f>HYPERLINK("https://www.ooredoo.com/en/who_we_are/governance_team/group-executive-management/","Kaynak")</f>
        <v/>
      </c>
    </row>
    <row r="161" ht="30" customHeight="1">
      <c r="A161" s="8" t="n">
        <v>159</v>
      </c>
      <c r="B161" s="10" t="inlineStr">
        <is>
          <t>Industrials</t>
        </is>
      </c>
      <c r="C161" s="10" t="inlineStr">
        <is>
          <t>Saad Sherida Al-Kaabi</t>
        </is>
      </c>
      <c r="D161" s="10" t="inlineStr">
        <is>
          <t>Chairman &amp; MD</t>
        </is>
      </c>
      <c r="E161" s="10" t="inlineStr">
        <is>
          <t>Industries Qatar</t>
        </is>
      </c>
      <c r="F161" s="10" t="inlineStr">
        <is>
          <t>Katar</t>
        </is>
      </c>
      <c r="G161" s="15" t="inlineStr">
        <is>
          <t>Yüksek (profesyonel)</t>
        </is>
      </c>
      <c r="H161" s="11">
        <f>HYPERLINK("https://www.linkedin.com/search/results/people/?keywords=Saad%20Al-Kaabi%20Industries%20Qatar","LinkedIn'de bul")</f>
        <v/>
      </c>
      <c r="I161" s="11">
        <f>HYPERLINK("https://iq.com.qa","iq.com.qa")</f>
        <v/>
      </c>
      <c r="J161" s="10" t="inlineStr"/>
      <c r="K161" s="11">
        <f>HYPERLINK("https://iq.com.qa/en/about-iq/board-of-directors/his-excellency-mr-saad-sherida-al-kaabi/","Kaynak")</f>
        <v/>
      </c>
    </row>
    <row r="162" ht="30" customHeight="1">
      <c r="A162" s="8" t="n">
        <v>160</v>
      </c>
      <c r="B162" s="10" t="inlineStr">
        <is>
          <t>Maritime / LNG</t>
        </is>
      </c>
      <c r="C162" s="10" t="inlineStr">
        <is>
          <t>Sheikh Khalid bin Khalifa Al Thani</t>
        </is>
      </c>
      <c r="D162" s="10" t="inlineStr">
        <is>
          <t>Chairman</t>
        </is>
      </c>
      <c r="E162" s="10" t="inlineStr">
        <is>
          <t>Nakilat</t>
        </is>
      </c>
      <c r="F162" s="10" t="inlineStr">
        <is>
          <t>Katar</t>
        </is>
      </c>
      <c r="G162" s="8" t="inlineStr">
        <is>
          <t>Düşük (royal/sahip)</t>
        </is>
      </c>
      <c r="H162" s="11">
        <f>HYPERLINK("https://www.linkedin.com/search/results/people/?keywords=Khalid%20bin%20Khalifa%20Al%20Thani%20Nakilat","LinkedIn'de bul")</f>
        <v/>
      </c>
      <c r="I162" s="11">
        <f>HYPERLINK("https://www.nakilat.com","nakilat.com")</f>
        <v/>
      </c>
      <c r="J162" s="10" t="inlineStr"/>
      <c r="K162" s="11">
        <f>HYPERLINK("https://www.nakilat.com/boardofdirectors/","Kaynak")</f>
        <v/>
      </c>
    </row>
    <row r="163" ht="30" customHeight="1">
      <c r="A163" s="8" t="n">
        <v>161</v>
      </c>
      <c r="B163" s="10" t="inlineStr">
        <is>
          <t>Maritime / LNG</t>
        </is>
      </c>
      <c r="C163" s="10" t="inlineStr">
        <is>
          <t>Abdullah Al-Sulaiti</t>
        </is>
      </c>
      <c r="D163" s="10" t="inlineStr">
        <is>
          <t>CEO</t>
        </is>
      </c>
      <c r="E163" s="10" t="inlineStr">
        <is>
          <t>Nakilat</t>
        </is>
      </c>
      <c r="F163" s="10" t="inlineStr">
        <is>
          <t>Katar</t>
        </is>
      </c>
      <c r="G163" s="15" t="inlineStr">
        <is>
          <t>Yüksek (profesyonel)</t>
        </is>
      </c>
      <c r="H163" s="11">
        <f>HYPERLINK("https://www.linkedin.com/search/results/people/?keywords=Abdullah%20Al-Sulaiti%20Nakilat","LinkedIn'de bul")</f>
        <v/>
      </c>
      <c r="I163" s="11">
        <f>HYPERLINK("https://www.nakilat.com","nakilat.com")</f>
        <v/>
      </c>
      <c r="J163" s="10" t="inlineStr"/>
      <c r="K163" s="11">
        <f>HYPERLINK("https://www.nakilat.com/management/","Kaynak")</f>
        <v/>
      </c>
    </row>
    <row r="164" ht="30" customHeight="1">
      <c r="A164" s="8" t="n">
        <v>162</v>
      </c>
      <c r="B164" s="10" t="inlineStr">
        <is>
          <t>Maritime / LNG</t>
        </is>
      </c>
      <c r="C164" s="10" t="inlineStr">
        <is>
          <t>Hani Abuaker</t>
        </is>
      </c>
      <c r="D164" s="10" t="inlineStr">
        <is>
          <t>CFO</t>
        </is>
      </c>
      <c r="E164" s="10" t="inlineStr">
        <is>
          <t>Nakilat</t>
        </is>
      </c>
      <c r="F164" s="10" t="inlineStr">
        <is>
          <t>Katar</t>
        </is>
      </c>
      <c r="G164" s="15" t="inlineStr">
        <is>
          <t>Yüksek (profesyonel)</t>
        </is>
      </c>
      <c r="H164" s="11">
        <f>HYPERLINK("https://www.linkedin.com/search/results/people/?keywords=Hani%20Abuaker%20Nakilat","LinkedIn'de bul")</f>
        <v/>
      </c>
      <c r="I164" s="11">
        <f>HYPERLINK("https://www.nakilat.com","nakilat.com")</f>
        <v/>
      </c>
      <c r="J164" s="10" t="inlineStr"/>
      <c r="K164" s="11">
        <f>HYPERLINK("https://www.nakilat.com/management/","Kaynak")</f>
        <v/>
      </c>
    </row>
    <row r="165" ht="30" customHeight="1">
      <c r="A165" s="8" t="n">
        <v>163</v>
      </c>
      <c r="B165" s="10" t="inlineStr">
        <is>
          <t>Utilities</t>
        </is>
      </c>
      <c r="C165" s="10" t="inlineStr">
        <is>
          <t>Fahad Hamad Al-Mohannadi</t>
        </is>
      </c>
      <c r="D165" s="10" t="inlineStr">
        <is>
          <t>General Manager</t>
        </is>
      </c>
      <c r="E165" s="10" t="inlineStr">
        <is>
          <t>Qatar Electricity &amp; Water (QEWC)</t>
        </is>
      </c>
      <c r="F165" s="10" t="inlineStr">
        <is>
          <t>Katar</t>
        </is>
      </c>
      <c r="G165" s="15" t="inlineStr">
        <is>
          <t>Yüksek (profesyonel)</t>
        </is>
      </c>
      <c r="H165" s="11">
        <f>HYPERLINK("https://www.linkedin.com/search/results/people/?keywords=Fahad%20Al-Mohannadi%20QEWC","LinkedIn'de bul")</f>
        <v/>
      </c>
      <c r="I165" s="11">
        <f>HYPERLINK("https://www.qewc.com","qewc.com")</f>
        <v/>
      </c>
      <c r="J165" s="10" t="inlineStr"/>
      <c r="K165" s="11">
        <f>HYPERLINK("https://www.qewc.com/qewc/en/about/leadership-management/","Kaynak")</f>
        <v/>
      </c>
    </row>
    <row r="166" ht="30" customHeight="1">
      <c r="A166" s="8" t="n">
        <v>164</v>
      </c>
      <c r="B166" s="10" t="inlineStr">
        <is>
          <t>Utilities</t>
        </is>
      </c>
      <c r="C166" s="10" t="inlineStr">
        <is>
          <t>Shahzad Gill</t>
        </is>
      </c>
      <c r="D166" s="10" t="inlineStr">
        <is>
          <t>CFO</t>
        </is>
      </c>
      <c r="E166" s="10" t="inlineStr">
        <is>
          <t>Qatar Electricity &amp; Water (QEWC)</t>
        </is>
      </c>
      <c r="F166" s="10" t="inlineStr">
        <is>
          <t>Katar</t>
        </is>
      </c>
      <c r="G166" s="15" t="inlineStr">
        <is>
          <t>Yüksek (profesyonel)</t>
        </is>
      </c>
      <c r="H166" s="11">
        <f>HYPERLINK("https://www.linkedin.com/search/results/people/?keywords=Shahzad%20Gill%20QEWC","LinkedIn'de bul")</f>
        <v/>
      </c>
      <c r="I166" s="11">
        <f>HYPERLINK("https://www.qewc.com","qewc.com")</f>
        <v/>
      </c>
      <c r="J166" s="10" t="inlineStr"/>
      <c r="K166" s="11">
        <f>HYPERLINK("https://www.qewc.com/qewc/en/about/leadership-management/","Kaynak")</f>
        <v/>
      </c>
    </row>
    <row r="167" ht="30" customHeight="1">
      <c r="A167" s="8" t="n">
        <v>165</v>
      </c>
      <c r="B167" s="10" t="inlineStr">
        <is>
          <t>Maritime / Logistics</t>
        </is>
      </c>
      <c r="C167" s="10" t="inlineStr">
        <is>
          <t>Sheikh Jassim bin Hamad bin Jassim Al Thani</t>
        </is>
      </c>
      <c r="D167" s="10" t="inlineStr">
        <is>
          <t>Chairman</t>
        </is>
      </c>
      <c r="E167" s="10" t="inlineStr">
        <is>
          <t>Qatar Navigation (Milaha)</t>
        </is>
      </c>
      <c r="F167" s="10" t="inlineStr">
        <is>
          <t>Katar</t>
        </is>
      </c>
      <c r="G167" s="8" t="inlineStr">
        <is>
          <t>Düşük (royal/sahip)</t>
        </is>
      </c>
      <c r="H167" s="11">
        <f>HYPERLINK("https://www.linkedin.com/search/results/people/?keywords=Jassim%20bin%20Hamad%20Al%20Thani%20Milaha","LinkedIn'de bul")</f>
        <v/>
      </c>
      <c r="I167" s="11">
        <f>HYPERLINK("https://www.milaha.com","milaha.com")</f>
        <v/>
      </c>
      <c r="J167" s="10" t="inlineStr"/>
      <c r="K167" s="11">
        <f>HYPERLINK("https://www.milaha.com/en/board-directors","Kaynak")</f>
        <v/>
      </c>
    </row>
    <row r="168" ht="30" customHeight="1">
      <c r="A168" s="8" t="n">
        <v>166</v>
      </c>
      <c r="B168" s="10" t="inlineStr">
        <is>
          <t>Maritime / Logistics</t>
        </is>
      </c>
      <c r="C168" s="10" t="inlineStr">
        <is>
          <t>Fahad Saad Al-Qahtani</t>
        </is>
      </c>
      <c r="D168" s="10" t="inlineStr">
        <is>
          <t>Group CEO</t>
        </is>
      </c>
      <c r="E168" s="10" t="inlineStr">
        <is>
          <t>Qatar Navigation (Milaha)</t>
        </is>
      </c>
      <c r="F168" s="10" t="inlineStr">
        <is>
          <t>Katar</t>
        </is>
      </c>
      <c r="G168" s="15" t="inlineStr">
        <is>
          <t>Yüksek (profesyonel)</t>
        </is>
      </c>
      <c r="H168" s="11">
        <f>HYPERLINK("https://www.linkedin.com/search/results/people/?keywords=Fahad%20Al-Qahtani%20Milaha","LinkedIn'de bul")</f>
        <v/>
      </c>
      <c r="I168" s="11">
        <f>HYPERLINK("https://www.milaha.com","milaha.com")</f>
        <v/>
      </c>
      <c r="J168" s="10" t="inlineStr"/>
      <c r="K168" s="11">
        <f>HYPERLINK("https://www.milaha.com/en/executive-management","Kaynak")</f>
        <v/>
      </c>
    </row>
    <row r="169" ht="30" customHeight="1">
      <c r="A169" s="8" t="n">
        <v>167</v>
      </c>
      <c r="B169" s="10" t="inlineStr">
        <is>
          <t>Maritime / Logistics</t>
        </is>
      </c>
      <c r="C169" s="10" t="inlineStr">
        <is>
          <t>Akram Bashir Iswaiki</t>
        </is>
      </c>
      <c r="D169" s="10" t="inlineStr">
        <is>
          <t>EVP Finance (Group CFO)</t>
        </is>
      </c>
      <c r="E169" s="10" t="inlineStr">
        <is>
          <t>Qatar Navigation (Milaha)</t>
        </is>
      </c>
      <c r="F169" s="10" t="inlineStr">
        <is>
          <t>Katar</t>
        </is>
      </c>
      <c r="G169" s="15" t="inlineStr">
        <is>
          <t>Yüksek (profesyonel)</t>
        </is>
      </c>
      <c r="H169" s="11">
        <f>HYPERLINK("https://www.linkedin.com/search/results/people/?keywords=Akram%20Iswaiki%20Milaha","LinkedIn'de bul")</f>
        <v/>
      </c>
      <c r="I169" s="11">
        <f>HYPERLINK("https://www.milaha.com","milaha.com")</f>
        <v/>
      </c>
      <c r="J169" s="10" t="inlineStr"/>
      <c r="K169" s="11">
        <f>HYPERLINK("https://www.milaha.com/en/executive-management","Kaynak")</f>
        <v/>
      </c>
    </row>
    <row r="170" ht="30" customHeight="1">
      <c r="A170" s="8" t="n">
        <v>168</v>
      </c>
      <c r="B170" s="10" t="inlineStr">
        <is>
          <t>Food &amp; Beverage</t>
        </is>
      </c>
      <c r="C170" s="10" t="inlineStr">
        <is>
          <t>Moutaz Al-Khayyat</t>
        </is>
      </c>
      <c r="D170" s="10" t="inlineStr">
        <is>
          <t>Group Chairman</t>
        </is>
      </c>
      <c r="E170" s="10" t="inlineStr">
        <is>
          <t>Baladna</t>
        </is>
      </c>
      <c r="F170" s="10" t="inlineStr">
        <is>
          <t>Katar</t>
        </is>
      </c>
      <c r="G170" s="8" t="inlineStr">
        <is>
          <t>Orta (başkan)</t>
        </is>
      </c>
      <c r="H170" s="11">
        <f>HYPERLINK("https://www.linkedin.com/search/results/people/?keywords=Moutaz%20Al-Khayyat%20Baladna","LinkedIn'de bul")</f>
        <v/>
      </c>
      <c r="I170" s="11">
        <f>HYPERLINK("https://baladna.com","baladna.com")</f>
        <v/>
      </c>
      <c r="J170" s="10" t="inlineStr"/>
      <c r="K170" s="11">
        <f>HYPERLINK("https://baladna.com/en/our-team","Kaynak")</f>
        <v/>
      </c>
    </row>
    <row r="171" ht="30" customHeight="1">
      <c r="A171" s="8" t="n">
        <v>169</v>
      </c>
      <c r="B171" s="10" t="inlineStr">
        <is>
          <t>Food &amp; Beverage</t>
        </is>
      </c>
      <c r="C171" s="10" t="inlineStr">
        <is>
          <t>Marek Warzywoda</t>
        </is>
      </c>
      <c r="D171" s="10" t="inlineStr">
        <is>
          <t>Group CEO</t>
        </is>
      </c>
      <c r="E171" s="10" t="inlineStr">
        <is>
          <t>Baladna</t>
        </is>
      </c>
      <c r="F171" s="10" t="inlineStr">
        <is>
          <t>Katar</t>
        </is>
      </c>
      <c r="G171" s="15" t="inlineStr">
        <is>
          <t>Yüksek (profesyonel)</t>
        </is>
      </c>
      <c r="H171" s="11">
        <f>HYPERLINK("https://www.linkedin.com/search/results/people/?keywords=Marek%20Warzywoda%20Baladna","LinkedIn'de bul")</f>
        <v/>
      </c>
      <c r="I171" s="11">
        <f>HYPERLINK("https://baladna.com","baladna.com")</f>
        <v/>
      </c>
      <c r="J171" s="10" t="inlineStr"/>
      <c r="K171" s="11">
        <f>HYPERLINK("https://baladna.com/en/our-team","Kaynak")</f>
        <v/>
      </c>
    </row>
    <row r="172" ht="30" customHeight="1">
      <c r="A172" s="8" t="n">
        <v>170</v>
      </c>
      <c r="B172" s="10" t="inlineStr">
        <is>
          <t>Food &amp; Beverage</t>
        </is>
      </c>
      <c r="C172" s="10" t="inlineStr">
        <is>
          <t>Saifullah Khan</t>
        </is>
      </c>
      <c r="D172" s="10" t="inlineStr">
        <is>
          <t>Group CFO</t>
        </is>
      </c>
      <c r="E172" s="10" t="inlineStr">
        <is>
          <t>Baladna</t>
        </is>
      </c>
      <c r="F172" s="10" t="inlineStr">
        <is>
          <t>Katar</t>
        </is>
      </c>
      <c r="G172" s="15" t="inlineStr">
        <is>
          <t>Yüksek (profesyonel)</t>
        </is>
      </c>
      <c r="H172" s="11">
        <f>HYPERLINK("https://www.linkedin.com/search/results/people/?keywords=Saifullah%20Khan%20Baladna","LinkedIn'de bul")</f>
        <v/>
      </c>
      <c r="I172" s="11">
        <f>HYPERLINK("https://baladna.com","baladna.com")</f>
        <v/>
      </c>
      <c r="J172" s="10" t="inlineStr"/>
      <c r="K172" s="11">
        <f>HYPERLINK("https://baladna.com/en/our-team","Kaynak")</f>
        <v/>
      </c>
    </row>
    <row r="173" ht="30" customHeight="1">
      <c r="A173" s="8" t="n">
        <v>171</v>
      </c>
      <c r="B173" s="10" t="inlineStr">
        <is>
          <t>Energy</t>
        </is>
      </c>
      <c r="C173" s="10" t="inlineStr">
        <is>
          <t>Ahmad Saif Al-Sulaiti</t>
        </is>
      </c>
      <c r="D173" s="10" t="inlineStr">
        <is>
          <t>Chairman</t>
        </is>
      </c>
      <c r="E173" s="10" t="inlineStr">
        <is>
          <t>Qatar Fuel (Woqod)</t>
        </is>
      </c>
      <c r="F173" s="10" t="inlineStr">
        <is>
          <t>Katar</t>
        </is>
      </c>
      <c r="G173" s="8" t="inlineStr">
        <is>
          <t>Orta (başkan)</t>
        </is>
      </c>
      <c r="H173" s="11">
        <f>HYPERLINK("https://www.linkedin.com/search/results/people/?keywords=Ahmad%20Saif%20Al-Sulaiti%20Woqod","LinkedIn'de bul")</f>
        <v/>
      </c>
      <c r="I173" s="11">
        <f>HYPERLINK("https://www.woqod.com","woqod.com")</f>
        <v/>
      </c>
      <c r="J173" s="10" t="inlineStr"/>
      <c r="K173" s="11">
        <f>HYPERLINK("https://www.woqod.com/website/en/about-us/leadership/detailed/boardmembers","Kaynak")</f>
        <v/>
      </c>
    </row>
    <row r="174" ht="30" customHeight="1">
      <c r="A174" s="8" t="n">
        <v>172</v>
      </c>
      <c r="B174" s="10" t="inlineStr">
        <is>
          <t>Energy</t>
        </is>
      </c>
      <c r="C174" s="10" t="inlineStr">
        <is>
          <t>Saad Rashid Al-Muhannadi</t>
        </is>
      </c>
      <c r="D174" s="10" t="inlineStr">
        <is>
          <t>CEO &amp; MD</t>
        </is>
      </c>
      <c r="E174" s="10" t="inlineStr">
        <is>
          <t>Qatar Fuel (Woqod)</t>
        </is>
      </c>
      <c r="F174" s="10" t="inlineStr">
        <is>
          <t>Katar</t>
        </is>
      </c>
      <c r="G174" s="15" t="inlineStr">
        <is>
          <t>Yüksek (profesyonel)</t>
        </is>
      </c>
      <c r="H174" s="11">
        <f>HYPERLINK("https://www.linkedin.com/search/results/people/?keywords=Saad%20Al-Muhannadi%20Woqod","LinkedIn'de bul")</f>
        <v/>
      </c>
      <c r="I174" s="11">
        <f>HYPERLINK("https://www.woqod.com","woqod.com")</f>
        <v/>
      </c>
      <c r="J174" s="10" t="inlineStr"/>
      <c r="K174" s="11">
        <f>HYPERLINK("https://www.woqod.com/website/en/about-us/leadership/detailed/executivemanagement","Kaynak")</f>
        <v/>
      </c>
    </row>
    <row r="175" ht="30" customHeight="1">
      <c r="A175" s="8" t="n">
        <v>173</v>
      </c>
      <c r="B175" s="10" t="inlineStr">
        <is>
          <t>Banking</t>
        </is>
      </c>
      <c r="C175" s="10" t="inlineStr">
        <is>
          <t>Hamad Mohamed Al-Bahar</t>
        </is>
      </c>
      <c r="D175" s="10" t="inlineStr">
        <is>
          <t>Chairman</t>
        </is>
      </c>
      <c r="E175" s="10" t="inlineStr">
        <is>
          <t>National Bank of Kuwait (NBK)</t>
        </is>
      </c>
      <c r="F175" s="10" t="inlineStr">
        <is>
          <t>Kuveyt</t>
        </is>
      </c>
      <c r="G175" s="8" t="inlineStr">
        <is>
          <t>Orta (başkan)</t>
        </is>
      </c>
      <c r="H175" s="11">
        <f>HYPERLINK("https://www.linkedin.com/search/results/people/?keywords=Hamad%20Al-Bahar%20National%20Bank%20of%20Kuwait","LinkedIn'de bul")</f>
        <v/>
      </c>
      <c r="I175" s="11">
        <f>HYPERLINK("https://www.nbk.com","nbk.com")</f>
        <v/>
      </c>
      <c r="J175" s="10" t="inlineStr"/>
      <c r="K175" s="11">
        <f>HYPERLINK("https://www.nbk.com/about-nbk-group/who-we-are.html","Kaynak")</f>
        <v/>
      </c>
    </row>
    <row r="176" ht="30" customHeight="1">
      <c r="A176" s="8" t="n">
        <v>174</v>
      </c>
      <c r="B176" s="10" t="inlineStr">
        <is>
          <t>Banking</t>
        </is>
      </c>
      <c r="C176" s="10" t="inlineStr">
        <is>
          <t>Isam Jasem Al-Sager</t>
        </is>
      </c>
      <c r="D176" s="10" t="inlineStr">
        <is>
          <t>Vice-Chairman &amp; Group CEO</t>
        </is>
      </c>
      <c r="E176" s="10" t="inlineStr">
        <is>
          <t>National Bank of Kuwait (NBK)</t>
        </is>
      </c>
      <c r="F176" s="10" t="inlineStr">
        <is>
          <t>Kuveyt</t>
        </is>
      </c>
      <c r="G176" s="15" t="inlineStr">
        <is>
          <t>Yüksek (profesyonel)</t>
        </is>
      </c>
      <c r="H176" s="11">
        <f>HYPERLINK("https://www.linkedin.com/search/results/people/?keywords=Isam%20Al-Sager%20National%20Bank%20of%20Kuwait","LinkedIn'de bul")</f>
        <v/>
      </c>
      <c r="I176" s="11">
        <f>HYPERLINK("https://www.nbk.com","nbk.com")</f>
        <v/>
      </c>
      <c r="J176" s="10" t="inlineStr"/>
      <c r="K176" s="11">
        <f>HYPERLINK("https://www.nbk.com/about-nbk-group/who-we-are.html","Kaynak")</f>
        <v/>
      </c>
    </row>
    <row r="177" ht="30" customHeight="1">
      <c r="A177" s="8" t="n">
        <v>175</v>
      </c>
      <c r="B177" s="10" t="inlineStr">
        <is>
          <t>Banking</t>
        </is>
      </c>
      <c r="C177" s="10" t="inlineStr">
        <is>
          <t>Sujit Ronghe</t>
        </is>
      </c>
      <c r="D177" s="10" t="inlineStr">
        <is>
          <t>Group CFO</t>
        </is>
      </c>
      <c r="E177" s="10" t="inlineStr">
        <is>
          <t>National Bank of Kuwait (NBK)</t>
        </is>
      </c>
      <c r="F177" s="10" t="inlineStr">
        <is>
          <t>Kuveyt</t>
        </is>
      </c>
      <c r="G177" s="15" t="inlineStr">
        <is>
          <t>Yüksek (profesyonel)</t>
        </is>
      </c>
      <c r="H177" s="11">
        <f>HYPERLINK("https://www.linkedin.com/search/results/people/?keywords=Sujit%20Ronghe%20National%20Bank%20of%20Kuwait","LinkedIn'de bul")</f>
        <v/>
      </c>
      <c r="I177" s="11">
        <f>HYPERLINK("https://www.nbk.com","nbk.com")</f>
        <v/>
      </c>
      <c r="J177" s="10" t="inlineStr"/>
      <c r="K177" s="11">
        <f>HYPERLINK("https://www.nbk.com/about-nbk-group/who-we-are.html","Kaynak")</f>
        <v/>
      </c>
    </row>
    <row r="178" ht="30" customHeight="1">
      <c r="A178" s="8" t="n">
        <v>176</v>
      </c>
      <c r="B178" s="10" t="inlineStr">
        <is>
          <t>Islamic Banking</t>
        </is>
      </c>
      <c r="C178" s="10" t="inlineStr">
        <is>
          <t>Hamad Abdulmohsen Al-Marzouq</t>
        </is>
      </c>
      <c r="D178" s="10" t="inlineStr">
        <is>
          <t>Chairman</t>
        </is>
      </c>
      <c r="E178" s="10" t="inlineStr">
        <is>
          <t>Kuwait Finance House (KFH)</t>
        </is>
      </c>
      <c r="F178" s="10" t="inlineStr">
        <is>
          <t>Kuveyt</t>
        </is>
      </c>
      <c r="G178" s="8" t="inlineStr">
        <is>
          <t>Orta (başkan)</t>
        </is>
      </c>
      <c r="H178" s="11">
        <f>HYPERLINK("https://www.linkedin.com/search/results/people/?keywords=Hamad%20Al-Marzouq%20Kuwait%20Finance%20House","LinkedIn'de bul")</f>
        <v/>
      </c>
      <c r="I178" s="11">
        <f>HYPERLINK("https://www.kfh.com","kfh.com")</f>
        <v/>
      </c>
      <c r="J178" s="10" t="inlineStr"/>
      <c r="K178" s="11">
        <f>HYPERLINK("https://www.kfh.com/en/home/Personal/aboutus/Islamic-Banking-Pioneers.html","Kaynak")</f>
        <v/>
      </c>
    </row>
    <row r="179" ht="30" customHeight="1">
      <c r="A179" s="8" t="n">
        <v>177</v>
      </c>
      <c r="B179" s="10" t="inlineStr">
        <is>
          <t>Islamic Banking</t>
        </is>
      </c>
      <c r="C179" s="10" t="inlineStr">
        <is>
          <t>Khaled Yousef Al-Shamlan</t>
        </is>
      </c>
      <c r="D179" s="10" t="inlineStr">
        <is>
          <t>Group CEO</t>
        </is>
      </c>
      <c r="E179" s="10" t="inlineStr">
        <is>
          <t>Kuwait Finance House (KFH)</t>
        </is>
      </c>
      <c r="F179" s="10" t="inlineStr">
        <is>
          <t>Kuveyt</t>
        </is>
      </c>
      <c r="G179" s="15" t="inlineStr">
        <is>
          <t>Yüksek (profesyonel)</t>
        </is>
      </c>
      <c r="H179" s="11">
        <f>HYPERLINK("https://www.linkedin.com/search/results/people/?keywords=Khaled%20Al-Shamlan%20Kuwait%20Finance%20House","LinkedIn'de bul")</f>
        <v/>
      </c>
      <c r="I179" s="11">
        <f>HYPERLINK("https://www.kfh.com","kfh.com")</f>
        <v/>
      </c>
      <c r="J179" s="10" t="inlineStr"/>
      <c r="K179" s="11">
        <f>HYPERLINK("https://www.kfh.com/en/home/Personal/news/2025/KFH-Appoints-Khaled-AlShamlan-as-KFH-Group-CEO.html","Kaynak")</f>
        <v/>
      </c>
    </row>
    <row r="180" ht="30" customHeight="1">
      <c r="A180" s="8" t="n">
        <v>178</v>
      </c>
      <c r="B180" s="10" t="inlineStr">
        <is>
          <t>Islamic Banking</t>
        </is>
      </c>
      <c r="C180" s="10" t="inlineStr">
        <is>
          <t>Abdulkarim Abdullah Al-Samdan</t>
        </is>
      </c>
      <c r="D180" s="10" t="inlineStr">
        <is>
          <t>Group CFO</t>
        </is>
      </c>
      <c r="E180" s="10" t="inlineStr">
        <is>
          <t>Kuwait Finance House (KFH)</t>
        </is>
      </c>
      <c r="F180" s="10" t="inlineStr">
        <is>
          <t>Kuveyt</t>
        </is>
      </c>
      <c r="G180" s="15" t="inlineStr">
        <is>
          <t>Yüksek (profesyonel)</t>
        </is>
      </c>
      <c r="H180" s="11">
        <f>HYPERLINK("https://www.linkedin.com/search/results/people/?keywords=Abdulkarim%20Al-Samdan%20Kuwait%20Finance%20House","LinkedIn'de bul")</f>
        <v/>
      </c>
      <c r="I180" s="11">
        <f>HYPERLINK("https://www.kfh.com","kfh.com")</f>
        <v/>
      </c>
      <c r="J180" s="10" t="inlineStr"/>
      <c r="K180" s="11">
        <f>HYPERLINK("https://www.kfh.com/en/home/Personal/aboutus/Islamic-Banking-Pioneers.html","Kaynak")</f>
        <v/>
      </c>
    </row>
    <row r="181" ht="30" customHeight="1">
      <c r="A181" s="8" t="n">
        <v>179</v>
      </c>
      <c r="B181" s="10" t="inlineStr">
        <is>
          <t>Banking</t>
        </is>
      </c>
      <c r="C181" s="10" t="inlineStr">
        <is>
          <t>Ahmad Mohammad Al-Bahar</t>
        </is>
      </c>
      <c r="D181" s="10" t="inlineStr">
        <is>
          <t>Chairman</t>
        </is>
      </c>
      <c r="E181" s="10" t="inlineStr">
        <is>
          <t>Gulf Bank</t>
        </is>
      </c>
      <c r="F181" s="10" t="inlineStr">
        <is>
          <t>Kuveyt</t>
        </is>
      </c>
      <c r="G181" s="8" t="inlineStr">
        <is>
          <t>Orta (başkan)</t>
        </is>
      </c>
      <c r="H181" s="11">
        <f>HYPERLINK("https://www.linkedin.com/search/results/people/?keywords=Ahmad%20Al-Bahar%20Gulf%20Bank%20Kuwait","LinkedIn'de bul")</f>
        <v/>
      </c>
      <c r="I181" s="11">
        <f>HYPERLINK("https://www.e-gulfbank.com","e-gulfbank.com")</f>
        <v/>
      </c>
      <c r="J181" s="10" t="inlineStr"/>
      <c r="K181" s="11">
        <f>HYPERLINK("https://www.e-gulfbank.com/en/about-us/media/press-releases/2025/01/ahmad-mohammad-al-bahar-appointed-chairman-of-gulf-banks-board-of-directors/","Kaynak")</f>
        <v/>
      </c>
    </row>
    <row r="182" ht="30" customHeight="1">
      <c r="A182" s="8" t="n">
        <v>180</v>
      </c>
      <c r="B182" s="10" t="inlineStr">
        <is>
          <t>Banking</t>
        </is>
      </c>
      <c r="C182" s="10" t="inlineStr">
        <is>
          <t>Waleed Khaled Mandani</t>
        </is>
      </c>
      <c r="D182" s="10" t="inlineStr">
        <is>
          <t>Acting CEO</t>
        </is>
      </c>
      <c r="E182" s="10" t="inlineStr">
        <is>
          <t>Gulf Bank</t>
        </is>
      </c>
      <c r="F182" s="10" t="inlineStr">
        <is>
          <t>Kuveyt</t>
        </is>
      </c>
      <c r="G182" s="15" t="inlineStr">
        <is>
          <t>Yüksek (profesyonel)</t>
        </is>
      </c>
      <c r="H182" s="11">
        <f>HYPERLINK("https://www.linkedin.com/search/results/people/?keywords=Waleed%20Mandani%20Gulf%20Bank%20Kuwait","LinkedIn'de bul")</f>
        <v/>
      </c>
      <c r="I182" s="11">
        <f>HYPERLINK("https://www.e-gulfbank.com","e-gulfbank.com")</f>
        <v/>
      </c>
      <c r="J182" s="10" t="inlineStr"/>
      <c r="K182" s="11">
        <f>HYPERLINK("https://www.e-gulfbank.com/en/about-us/executives/executive-management/","Kaynak")</f>
        <v/>
      </c>
    </row>
    <row r="183" ht="30" customHeight="1">
      <c r="A183" s="8" t="n">
        <v>181</v>
      </c>
      <c r="B183" s="10" t="inlineStr">
        <is>
          <t>Banking</t>
        </is>
      </c>
      <c r="C183" s="10" t="inlineStr">
        <is>
          <t>David Challinor</t>
        </is>
      </c>
      <c r="D183" s="10" t="inlineStr">
        <is>
          <t>CFO</t>
        </is>
      </c>
      <c r="E183" s="10" t="inlineStr">
        <is>
          <t>Gulf Bank</t>
        </is>
      </c>
      <c r="F183" s="10" t="inlineStr">
        <is>
          <t>Kuveyt</t>
        </is>
      </c>
      <c r="G183" s="15" t="inlineStr">
        <is>
          <t>Yüksek (profesyonel)</t>
        </is>
      </c>
      <c r="H183" s="11">
        <f>HYPERLINK("https://www.linkedin.com/search/results/people/?keywords=David%20Challinor%20Gulf%20Bank%20Kuwait","LinkedIn'de bul")</f>
        <v/>
      </c>
      <c r="I183" s="11">
        <f>HYPERLINK("https://www.e-gulfbank.com","e-gulfbank.com")</f>
        <v/>
      </c>
      <c r="J183" s="10" t="inlineStr"/>
      <c r="K183" s="11">
        <f>HYPERLINK("https://www.e-gulfbank.com/en/about-us/executives/executive-management/","Kaynak")</f>
        <v/>
      </c>
    </row>
    <row r="184" ht="30" customHeight="1">
      <c r="A184" s="8" t="n">
        <v>182</v>
      </c>
      <c r="B184" s="10" t="inlineStr">
        <is>
          <t>Islamic Banking</t>
        </is>
      </c>
      <c r="C184" s="10" t="inlineStr">
        <is>
          <t>Abdulaziz Abdullah Dakheel Al-Shaya</t>
        </is>
      </c>
      <c r="D184" s="10" t="inlineStr">
        <is>
          <t>Chairman</t>
        </is>
      </c>
      <c r="E184" s="10" t="inlineStr">
        <is>
          <t>Boubyan Bank</t>
        </is>
      </c>
      <c r="F184" s="10" t="inlineStr">
        <is>
          <t>Kuveyt</t>
        </is>
      </c>
      <c r="G184" s="8" t="inlineStr">
        <is>
          <t>Orta (başkan)</t>
        </is>
      </c>
      <c r="H184" s="11">
        <f>HYPERLINK("https://www.linkedin.com/search/results/people/?keywords=Abdulaziz%20Al-Shaya%20Boubyan%20Bank","LinkedIn'de bul")</f>
        <v/>
      </c>
      <c r="I184" s="11">
        <f>HYPERLINK("https://www.bankboubyan.com","bankboubyan.com")</f>
        <v/>
      </c>
      <c r="J184" s="10" t="inlineStr"/>
      <c r="K184" s="11">
        <f>HYPERLINK("https://www.bankboubyan.com/en/who-we-are/board-of-directors","Kaynak")</f>
        <v/>
      </c>
    </row>
    <row r="185" ht="30" customHeight="1">
      <c r="A185" s="8" t="n">
        <v>183</v>
      </c>
      <c r="B185" s="10" t="inlineStr">
        <is>
          <t>Islamic Banking</t>
        </is>
      </c>
      <c r="C185" s="10" t="inlineStr">
        <is>
          <t>Adel Abdul Wahab Al-Majed</t>
        </is>
      </c>
      <c r="D185" s="10" t="inlineStr">
        <is>
          <t>Vice-Chairman &amp; Group CEO</t>
        </is>
      </c>
      <c r="E185" s="10" t="inlineStr">
        <is>
          <t>Boubyan Bank</t>
        </is>
      </c>
      <c r="F185" s="10" t="inlineStr">
        <is>
          <t>Kuveyt</t>
        </is>
      </c>
      <c r="G185" s="15" t="inlineStr">
        <is>
          <t>Yüksek (profesyonel)</t>
        </is>
      </c>
      <c r="H185" s="11">
        <f>HYPERLINK("https://www.linkedin.com/search/results/people/?keywords=Adel%20Al-Majed%20Boubyan%20Bank","LinkedIn'de bul")</f>
        <v/>
      </c>
      <c r="I185" s="11">
        <f>HYPERLINK("https://www.bankboubyan.com","bankboubyan.com")</f>
        <v/>
      </c>
      <c r="J185" s="10" t="inlineStr"/>
      <c r="K185" s="11">
        <f>HYPERLINK("https://www.bankboubyan.com/en/who-we-are/board-of-directors","Kaynak")</f>
        <v/>
      </c>
    </row>
    <row r="186" ht="30" customHeight="1">
      <c r="A186" s="8" t="n">
        <v>184</v>
      </c>
      <c r="B186" s="10" t="inlineStr">
        <is>
          <t>Islamic Banking</t>
        </is>
      </c>
      <c r="C186" s="10" t="inlineStr">
        <is>
          <t>Mohamed Ibrahim Ismail</t>
        </is>
      </c>
      <c r="D186" s="10" t="inlineStr">
        <is>
          <t>Group CFO</t>
        </is>
      </c>
      <c r="E186" s="10" t="inlineStr">
        <is>
          <t>Boubyan Bank</t>
        </is>
      </c>
      <c r="F186" s="10" t="inlineStr">
        <is>
          <t>Kuveyt</t>
        </is>
      </c>
      <c r="G186" s="15" t="inlineStr">
        <is>
          <t>Yüksek (profesyonel)</t>
        </is>
      </c>
      <c r="H186" s="11">
        <f>HYPERLINK("https://www.linkedin.com/search/results/people/?keywords=Mohamed%20Ibrahim%20Ismail%20Boubyan%20Bank","LinkedIn'de bul")</f>
        <v/>
      </c>
      <c r="I186" s="11">
        <f>HYPERLINK("https://www.bankboubyan.com","bankboubyan.com")</f>
        <v/>
      </c>
      <c r="J186" s="10" t="inlineStr"/>
      <c r="K186" s="11">
        <f>HYPERLINK("https://www.bankboubyan.com/en/who-we-are/executive-management","Kaynak")</f>
        <v/>
      </c>
    </row>
    <row r="187" ht="30" customHeight="1">
      <c r="A187" s="8" t="n">
        <v>185</v>
      </c>
      <c r="B187" s="10" t="inlineStr">
        <is>
          <t>Banking</t>
        </is>
      </c>
      <c r="C187" s="10" t="inlineStr">
        <is>
          <t>Fadel Mahmoud Abdullah</t>
        </is>
      </c>
      <c r="D187" s="10" t="inlineStr">
        <is>
          <t>Group CEO</t>
        </is>
      </c>
      <c r="E187" s="10" t="inlineStr">
        <is>
          <t>Burgan Bank</t>
        </is>
      </c>
      <c r="F187" s="10" t="inlineStr">
        <is>
          <t>Kuveyt</t>
        </is>
      </c>
      <c r="G187" s="15" t="inlineStr">
        <is>
          <t>Yüksek (profesyonel)</t>
        </is>
      </c>
      <c r="H187" s="11">
        <f>HYPERLINK("https://www.linkedin.com/search/results/people/?keywords=Fadel%20Abdullah%20Burgan%20Bank","LinkedIn'de bul")</f>
        <v/>
      </c>
      <c r="I187" s="11">
        <f>HYPERLINK("https://www.burgan.com","burgan.com")</f>
        <v/>
      </c>
      <c r="J187" s="10" t="inlineStr"/>
      <c r="K187" s="11">
        <f>HYPERLINK("https://www.zawya.com/en/business/banking-and-insurance/fadel-abdullah-appointed-burgan-banks-ceo-kuwait-ujww1dxg","Kaynak")</f>
        <v/>
      </c>
    </row>
    <row r="188" ht="30" customHeight="1">
      <c r="A188" s="8" t="n">
        <v>186</v>
      </c>
      <c r="B188" s="10" t="inlineStr">
        <is>
          <t>Banking</t>
        </is>
      </c>
      <c r="C188" s="10" t="inlineStr">
        <is>
          <t>Khalid Fahed Al-Zouman</t>
        </is>
      </c>
      <c r="D188" s="10" t="inlineStr">
        <is>
          <t>CFO</t>
        </is>
      </c>
      <c r="E188" s="10" t="inlineStr">
        <is>
          <t>Burgan Bank</t>
        </is>
      </c>
      <c r="F188" s="10" t="inlineStr">
        <is>
          <t>Kuveyt</t>
        </is>
      </c>
      <c r="G188" s="15" t="inlineStr">
        <is>
          <t>Yüksek (profesyonel)</t>
        </is>
      </c>
      <c r="H188" s="11">
        <f>HYPERLINK("https://www.linkedin.com/search/results/people/?keywords=Khalid%20Al-Zouman%20Burgan%20Bank","LinkedIn'de bul")</f>
        <v/>
      </c>
      <c r="I188" s="11">
        <f>HYPERLINK("https://www.burgan.com","burgan.com")</f>
        <v/>
      </c>
      <c r="J188" s="10" t="inlineStr"/>
      <c r="K188" s="11">
        <f>HYPERLINK("https://www.marketscreener.com/quote/stock/BURGAN-BANK-K-P-S-C-6493132/company-governance/","Kaynak")</f>
        <v/>
      </c>
    </row>
    <row r="189" ht="30" customHeight="1">
      <c r="A189" s="8" t="n">
        <v>187</v>
      </c>
      <c r="B189" s="10" t="inlineStr">
        <is>
          <t>Islamic Banking</t>
        </is>
      </c>
      <c r="C189" s="10" t="inlineStr">
        <is>
          <t>Shaheen Hamad Al-Ghanem</t>
        </is>
      </c>
      <c r="D189" s="10" t="inlineStr">
        <is>
          <t>CEO</t>
        </is>
      </c>
      <c r="E189" s="10" t="inlineStr">
        <is>
          <t>Warba Bank</t>
        </is>
      </c>
      <c r="F189" s="10" t="inlineStr">
        <is>
          <t>Kuveyt</t>
        </is>
      </c>
      <c r="G189" s="15" t="inlineStr">
        <is>
          <t>Yüksek (profesyonel)</t>
        </is>
      </c>
      <c r="H189" s="11">
        <f>HYPERLINK("https://www.linkedin.com/search/results/people/?keywords=Shaheen%20Al-Ghanem%20Warba%20Bank","LinkedIn'de bul")</f>
        <v/>
      </c>
      <c r="I189" s="11">
        <f>HYPERLINK("https://www.warbabank.com","warbabank.com")</f>
        <v/>
      </c>
      <c r="J189" s="10" t="inlineStr"/>
      <c r="K189" s="11">
        <f>HYPERLINK("https://www.warbabank.com/english/annual-reports/home/the-corporate-governance-report/the-executive-management","Kaynak")</f>
        <v/>
      </c>
    </row>
    <row r="190" ht="30" customHeight="1">
      <c r="A190" s="8" t="n">
        <v>188</v>
      </c>
      <c r="B190" s="10" t="inlineStr">
        <is>
          <t>Telecom</t>
        </is>
      </c>
      <c r="C190" s="10" t="inlineStr">
        <is>
          <t>Nour Nael Ahmed Al-Jassim</t>
        </is>
      </c>
      <c r="D190" s="10" t="inlineStr">
        <is>
          <t>Chair of the Board</t>
        </is>
      </c>
      <c r="E190" s="10" t="inlineStr">
        <is>
          <t>Zain Group</t>
        </is>
      </c>
      <c r="F190" s="10" t="inlineStr">
        <is>
          <t>Kuveyt</t>
        </is>
      </c>
      <c r="G190" s="8" t="inlineStr">
        <is>
          <t>Orta (başkan)</t>
        </is>
      </c>
      <c r="H190" s="11">
        <f>HYPERLINK("https://www.linkedin.com/search/results/people/?keywords=Nour%20Al-Jassim%20Zain%20Group","LinkedIn'de bul")</f>
        <v/>
      </c>
      <c r="I190" s="11">
        <f>HYPERLINK("https://www.zain.com","zain.com")</f>
        <v/>
      </c>
      <c r="J190" s="10" t="inlineStr"/>
      <c r="K190" s="11">
        <f>HYPERLINK("https://www.marketscreener.com/news/zain-group-appoints-nour-nael-ahmed-al-jassim-as-chair-ce7e50ded080f127","Kaynak")</f>
        <v/>
      </c>
    </row>
    <row r="191" ht="30" customHeight="1">
      <c r="A191" s="8" t="n">
        <v>189</v>
      </c>
      <c r="B191" s="10" t="inlineStr">
        <is>
          <t>Telecom</t>
        </is>
      </c>
      <c r="C191" s="10" t="inlineStr">
        <is>
          <t>Ossama Matta</t>
        </is>
      </c>
      <c r="D191" s="10" t="inlineStr">
        <is>
          <t>Group CFO</t>
        </is>
      </c>
      <c r="E191" s="10" t="inlineStr">
        <is>
          <t>Zain Group</t>
        </is>
      </c>
      <c r="F191" s="10" t="inlineStr">
        <is>
          <t>Kuveyt</t>
        </is>
      </c>
      <c r="G191" s="15" t="inlineStr">
        <is>
          <t>Yüksek (profesyonel)</t>
        </is>
      </c>
      <c r="H191" s="11">
        <f>HYPERLINK("https://www.linkedin.com/search/results/people/?keywords=Ossama%20Matta%20Zain%20Group","LinkedIn'de bul")</f>
        <v/>
      </c>
      <c r="I191" s="11">
        <f>HYPERLINK("https://www.zain.com","zain.com")</f>
        <v/>
      </c>
      <c r="J191" s="10" t="inlineStr"/>
      <c r="K191" s="11">
        <f>HYPERLINK("https://zain.com/en/press/zain-group-announces-senior-management-changes-and","Kaynak")</f>
        <v/>
      </c>
    </row>
    <row r="192" ht="30" customHeight="1">
      <c r="A192" s="8" t="n">
        <v>190</v>
      </c>
      <c r="B192" s="10" t="inlineStr">
        <is>
          <t>Logistics</t>
        </is>
      </c>
      <c r="C192" s="10" t="inlineStr">
        <is>
          <t>Tarek Sultan Al-Essa</t>
        </is>
      </c>
      <c r="D192" s="10" t="inlineStr">
        <is>
          <t>Chairman</t>
        </is>
      </c>
      <c r="E192" s="10" t="inlineStr">
        <is>
          <t>Agility</t>
        </is>
      </c>
      <c r="F192" s="10" t="inlineStr">
        <is>
          <t>Kuveyt</t>
        </is>
      </c>
      <c r="G192" s="8" t="inlineStr">
        <is>
          <t>Orta (başkan)</t>
        </is>
      </c>
      <c r="H192" s="11">
        <f>HYPERLINK("https://www.linkedin.com/search/results/people/?keywords=Tarek%20Sultan%20Agility","LinkedIn'de bul")</f>
        <v/>
      </c>
      <c r="I192" s="11">
        <f>HYPERLINK("https://www.agility.com","agility.com")</f>
        <v/>
      </c>
      <c r="J192" s="10" t="inlineStr"/>
      <c r="K192" s="11">
        <f>HYPERLINK("https://agility.com/about-us/leadership/","Kaynak")</f>
        <v/>
      </c>
    </row>
    <row r="193" ht="30" customHeight="1">
      <c r="A193" s="8" t="n">
        <v>191</v>
      </c>
      <c r="B193" s="10" t="inlineStr">
        <is>
          <t>Logistics</t>
        </is>
      </c>
      <c r="C193" s="10" t="inlineStr">
        <is>
          <t>Henadi Al-Saleh</t>
        </is>
      </c>
      <c r="D193" s="10" t="inlineStr">
        <is>
          <t>CEO &amp; Board Member</t>
        </is>
      </c>
      <c r="E193" s="10" t="inlineStr">
        <is>
          <t>Agility</t>
        </is>
      </c>
      <c r="F193" s="10" t="inlineStr">
        <is>
          <t>Kuveyt</t>
        </is>
      </c>
      <c r="G193" s="15" t="inlineStr">
        <is>
          <t>Yüksek (profesyonel)</t>
        </is>
      </c>
      <c r="H193" s="11">
        <f>HYPERLINK("https://www.linkedin.com/search/results/people/?keywords=Henadi%20Al-Saleh%20Agility","LinkedIn'de bul")</f>
        <v/>
      </c>
      <c r="I193" s="11">
        <f>HYPERLINK("https://www.agility.com","agility.com")</f>
        <v/>
      </c>
      <c r="J193" s="10" t="inlineStr"/>
      <c r="K193" s="11">
        <f>HYPERLINK("https://agility.com/about-us/leadership/","Kaynak")</f>
        <v/>
      </c>
    </row>
    <row r="194" ht="30" customHeight="1">
      <c r="A194" s="8" t="n">
        <v>192</v>
      </c>
      <c r="B194" s="10" t="inlineStr">
        <is>
          <t>Logistics</t>
        </is>
      </c>
      <c r="C194" s="10" t="inlineStr">
        <is>
          <t>Ehab Aziz</t>
        </is>
      </c>
      <c r="D194" s="10" t="inlineStr">
        <is>
          <t>CFO</t>
        </is>
      </c>
      <c r="E194" s="10" t="inlineStr">
        <is>
          <t>Agility</t>
        </is>
      </c>
      <c r="F194" s="10" t="inlineStr">
        <is>
          <t>Kuveyt</t>
        </is>
      </c>
      <c r="G194" s="15" t="inlineStr">
        <is>
          <t>Yüksek (profesyonel)</t>
        </is>
      </c>
      <c r="H194" s="11">
        <f>HYPERLINK("https://www.linkedin.com/search/results/people/?keywords=Ehab%20Aziz%20Agility","LinkedIn'de bul")</f>
        <v/>
      </c>
      <c r="I194" s="11">
        <f>HYPERLINK("https://www.agility.com","agility.com")</f>
        <v/>
      </c>
      <c r="J194" s="10" t="inlineStr"/>
      <c r="K194" s="11">
        <f>HYPERLINK("https://agility.com/about-us/leadership/","Kaynak")</f>
        <v/>
      </c>
    </row>
    <row r="195" ht="30" customHeight="1">
      <c r="A195" s="8" t="n">
        <v>193</v>
      </c>
      <c r="B195" s="10" t="inlineStr">
        <is>
          <t>Education / Holding</t>
        </is>
      </c>
      <c r="C195" s="10" t="inlineStr">
        <is>
          <t>Tareq Fahad Al-Othman</t>
        </is>
      </c>
      <c r="D195" s="10" t="inlineStr">
        <is>
          <t>Chairman</t>
        </is>
      </c>
      <c r="E195" s="10" t="inlineStr">
        <is>
          <t>Humansoft Holding</t>
        </is>
      </c>
      <c r="F195" s="10" t="inlineStr">
        <is>
          <t>Kuveyt</t>
        </is>
      </c>
      <c r="G195" s="8" t="inlineStr">
        <is>
          <t>Orta (başkan)</t>
        </is>
      </c>
      <c r="H195" s="11">
        <f>HYPERLINK("https://www.linkedin.com/search/results/people/?keywords=Tareq%20Al-Othman%20Humansoft","LinkedIn'de bul")</f>
        <v/>
      </c>
      <c r="I195" s="11">
        <f>HYPERLINK("https://www.human-soft.com","human-soft.com")</f>
        <v/>
      </c>
      <c r="J195" s="10" t="inlineStr"/>
      <c r="K195" s="11">
        <f>HYPERLINK("https://www.human-soft.com/governance/","Kaynak")</f>
        <v/>
      </c>
    </row>
    <row r="196" ht="30" customHeight="1">
      <c r="A196" s="8" t="n">
        <v>194</v>
      </c>
      <c r="B196" s="10" t="inlineStr">
        <is>
          <t>Education / Holding</t>
        </is>
      </c>
      <c r="C196" s="10" t="inlineStr">
        <is>
          <t>Prof. Dr. Georges El Yahchouchy</t>
        </is>
      </c>
      <c r="D196" s="10" t="inlineStr">
        <is>
          <t>CEO</t>
        </is>
      </c>
      <c r="E196" s="10" t="inlineStr">
        <is>
          <t>Humansoft Holding</t>
        </is>
      </c>
      <c r="F196" s="10" t="inlineStr">
        <is>
          <t>Kuveyt</t>
        </is>
      </c>
      <c r="G196" s="15" t="inlineStr">
        <is>
          <t>Yüksek (profesyonel)</t>
        </is>
      </c>
      <c r="H196" s="11">
        <f>HYPERLINK("https://www.linkedin.com/search/results/people/?keywords=Georges%20El%20Yahchouchy%20Humansoft","LinkedIn'de bul")</f>
        <v/>
      </c>
      <c r="I196" s="11">
        <f>HYPERLINK("https://www.human-soft.com","human-soft.com")</f>
        <v/>
      </c>
      <c r="J196" s="10" t="inlineStr"/>
      <c r="K196" s="11">
        <f>HYPERLINK("https://www.human-soft.com/about/","Kaynak")</f>
        <v/>
      </c>
    </row>
    <row r="197" ht="30" customHeight="1">
      <c r="A197" s="8" t="n">
        <v>195</v>
      </c>
      <c r="B197" s="10" t="inlineStr">
        <is>
          <t>FMCG</t>
        </is>
      </c>
      <c r="C197" s="10" t="inlineStr">
        <is>
          <t>Muntaser Jassim Al-Wazzan</t>
        </is>
      </c>
      <c r="D197" s="10" t="inlineStr">
        <is>
          <t>Chairman</t>
        </is>
      </c>
      <c r="E197" s="10" t="inlineStr">
        <is>
          <t>Mezzan Holding</t>
        </is>
      </c>
      <c r="F197" s="10" t="inlineStr">
        <is>
          <t>Kuveyt</t>
        </is>
      </c>
      <c r="G197" s="8" t="inlineStr">
        <is>
          <t>Orta (başkan)</t>
        </is>
      </c>
      <c r="H197" s="11">
        <f>HYPERLINK("https://www.linkedin.com/search/results/people/?keywords=Muntaser%20Al-Wazzan%20Mezzan%20Holding","LinkedIn'de bul")</f>
        <v/>
      </c>
      <c r="I197" s="11">
        <f>HYPERLINK("https://www.mezzan.com","mezzan.com")</f>
        <v/>
      </c>
      <c r="J197" s="10" t="inlineStr"/>
      <c r="K197" s="11">
        <f>HYPERLINK("https://www.mezzan.com/our-company/board-of-directors/","Kaynak")</f>
        <v/>
      </c>
    </row>
    <row r="198" ht="30" customHeight="1">
      <c r="A198" s="8" t="n">
        <v>196</v>
      </c>
      <c r="B198" s="10" t="inlineStr">
        <is>
          <t>FMCG</t>
        </is>
      </c>
      <c r="C198" s="10" t="inlineStr">
        <is>
          <t>Amr Farghal</t>
        </is>
      </c>
      <c r="D198" s="10" t="inlineStr">
        <is>
          <t>Group CEO</t>
        </is>
      </c>
      <c r="E198" s="10" t="inlineStr">
        <is>
          <t>Mezzan Holding</t>
        </is>
      </c>
      <c r="F198" s="10" t="inlineStr">
        <is>
          <t>Kuveyt</t>
        </is>
      </c>
      <c r="G198" s="15" t="inlineStr">
        <is>
          <t>Yüksek (profesyonel)</t>
        </is>
      </c>
      <c r="H198" s="11">
        <f>HYPERLINK("https://www.linkedin.com/search/results/people/?keywords=Amr%20Farghal%20Mezzan%20Holding","LinkedIn'de bul")</f>
        <v/>
      </c>
      <c r="I198" s="11">
        <f>HYPERLINK("https://www.mezzan.com","mezzan.com")</f>
        <v/>
      </c>
      <c r="J198" s="10" t="inlineStr"/>
      <c r="K198" s="11">
        <f>HYPERLINK("https://www.mezzan.com/our-company/board-of-directors/","Kaynak")</f>
        <v/>
      </c>
    </row>
    <row r="199" ht="30" customHeight="1">
      <c r="A199" s="8" t="n">
        <v>197</v>
      </c>
      <c r="B199" s="10" t="inlineStr">
        <is>
          <t>FMCG</t>
        </is>
      </c>
      <c r="C199" s="10" t="inlineStr">
        <is>
          <t>Omar Samoud</t>
        </is>
      </c>
      <c r="D199" s="10" t="inlineStr">
        <is>
          <t>Group CFO</t>
        </is>
      </c>
      <c r="E199" s="10" t="inlineStr">
        <is>
          <t>Mezzan Holding</t>
        </is>
      </c>
      <c r="F199" s="10" t="inlineStr">
        <is>
          <t>Kuveyt</t>
        </is>
      </c>
      <c r="G199" s="15" t="inlineStr">
        <is>
          <t>Yüksek (profesyonel)</t>
        </is>
      </c>
      <c r="H199" s="11">
        <f>HYPERLINK("https://www.linkedin.com/search/results/people/?keywords=Omar%20Samoud%20Mezzan%20Holding","LinkedIn'de bul")</f>
        <v/>
      </c>
      <c r="I199" s="11">
        <f>HYPERLINK("https://www.mezzan.com","mezzan.com")</f>
        <v/>
      </c>
      <c r="J199" s="10" t="inlineStr"/>
      <c r="K199" s="11">
        <f>HYPERLINK("https://www.mezzan.com/our-company/board-of-directors/","Kaynak")</f>
        <v/>
      </c>
    </row>
    <row r="200" ht="30" customHeight="1">
      <c r="A200" s="8" t="n">
        <v>198</v>
      </c>
      <c r="B200" s="10" t="inlineStr">
        <is>
          <t>Investment Holding</t>
        </is>
      </c>
      <c r="C200" s="10" t="inlineStr">
        <is>
          <t>Sheikh Hamad Sabah Al-Ahmad Al-Sabah</t>
        </is>
      </c>
      <c r="D200" s="10" t="inlineStr">
        <is>
          <t>Chairman</t>
        </is>
      </c>
      <c r="E200" s="10" t="inlineStr">
        <is>
          <t>KIPCO</t>
        </is>
      </c>
      <c r="F200" s="10" t="inlineStr">
        <is>
          <t>Kuveyt</t>
        </is>
      </c>
      <c r="G200" s="8" t="inlineStr">
        <is>
          <t>Düşük (royal/sahip)</t>
        </is>
      </c>
      <c r="H200" s="11">
        <f>HYPERLINK("https://www.linkedin.com/search/results/people/?keywords=Hamad%20Sabah%20Al-Sabah%20KIPCO","LinkedIn'de bul")</f>
        <v/>
      </c>
      <c r="I200" s="11">
        <f>HYPERLINK("https://www.kipco.com","kipco.com")</f>
        <v/>
      </c>
      <c r="J200" s="10" t="inlineStr"/>
      <c r="K200" s="11">
        <f>HYPERLINK("https://kipco.com/about-us/","Kaynak")</f>
        <v/>
      </c>
    </row>
    <row r="201" ht="30" customHeight="1">
      <c r="A201" s="8" t="n">
        <v>199</v>
      </c>
      <c r="B201" s="10" t="inlineStr">
        <is>
          <t>Investment Holding</t>
        </is>
      </c>
      <c r="C201" s="10" t="inlineStr">
        <is>
          <t>Sheikha Dana Nasser Sabah Al-Ahmad Al-Sabah</t>
        </is>
      </c>
      <c r="D201" s="10" t="inlineStr">
        <is>
          <t>Group CEO</t>
        </is>
      </c>
      <c r="E201" s="10" t="inlineStr">
        <is>
          <t>KIPCO</t>
        </is>
      </c>
      <c r="F201" s="10" t="inlineStr">
        <is>
          <t>Kuveyt</t>
        </is>
      </c>
      <c r="G201" s="15" t="inlineStr">
        <is>
          <t>Yüksek (profesyonel)</t>
        </is>
      </c>
      <c r="H201" s="11">
        <f>HYPERLINK("https://www.linkedin.com/search/results/people/?keywords=Dana%20Al-Sabah%20KIPCO","LinkedIn'de bul")</f>
        <v/>
      </c>
      <c r="I201" s="11">
        <f>HYPERLINK("https://www.kipco.com","kipco.com")</f>
        <v/>
      </c>
      <c r="J201" s="10" t="inlineStr"/>
      <c r="K201" s="11">
        <f>HYPERLINK("https://kipco.com/about-us/","Kaynak")</f>
        <v/>
      </c>
    </row>
    <row r="202" ht="30" customHeight="1">
      <c r="A202" s="8" t="n">
        <v>200</v>
      </c>
      <c r="B202" s="10" t="inlineStr">
        <is>
          <t>Investment Holding</t>
        </is>
      </c>
      <c r="C202" s="10" t="inlineStr">
        <is>
          <t>Moustapha Samir Chami</t>
        </is>
      </c>
      <c r="D202" s="10" t="inlineStr">
        <is>
          <t>Group CFO</t>
        </is>
      </c>
      <c r="E202" s="10" t="inlineStr">
        <is>
          <t>KIPCO</t>
        </is>
      </c>
      <c r="F202" s="10" t="inlineStr">
        <is>
          <t>Kuveyt</t>
        </is>
      </c>
      <c r="G202" s="15" t="inlineStr">
        <is>
          <t>Yüksek (profesyonel)</t>
        </is>
      </c>
      <c r="H202" s="11">
        <f>HYPERLINK("https://www.linkedin.com/search/results/people/?keywords=Moustapha%20Chami%20KIPCO","LinkedIn'de bul")</f>
        <v/>
      </c>
      <c r="I202" s="11">
        <f>HYPERLINK("https://www.kipco.com","kipco.com")</f>
        <v/>
      </c>
      <c r="J202" s="10" t="inlineStr"/>
      <c r="K202" s="11">
        <f>HYPERLINK("https://kipco.com/about-us/","Kaynak")</f>
        <v/>
      </c>
    </row>
    <row r="203" ht="30" customHeight="1">
      <c r="A203" s="8" t="n">
        <v>201</v>
      </c>
      <c r="B203" s="10" t="inlineStr">
        <is>
          <t>Industrial / Holding</t>
        </is>
      </c>
      <c r="C203" s="10" t="inlineStr">
        <is>
          <t>Ahmed Mohammed Hassan</t>
        </is>
      </c>
      <c r="D203" s="10" t="inlineStr">
        <is>
          <t>CEO</t>
        </is>
      </c>
      <c r="E203" s="10" t="inlineStr">
        <is>
          <t>National Industries Group</t>
        </is>
      </c>
      <c r="F203" s="10" t="inlineStr">
        <is>
          <t>Kuveyt</t>
        </is>
      </c>
      <c r="G203" s="15" t="inlineStr">
        <is>
          <t>Yüksek (profesyonel)</t>
        </is>
      </c>
      <c r="H203" s="11">
        <f>HYPERLINK("https://www.linkedin.com/search/results/people/?keywords=Ahmed%20Mohammed%20Hassan%20National%20Industries%20Group","LinkedIn'de bul")</f>
        <v/>
      </c>
      <c r="I203" s="11">
        <f>HYPERLINK("https://www.nig.com.kw","nig.com.kw")</f>
        <v/>
      </c>
      <c r="J203" s="10" t="inlineStr"/>
      <c r="K203" s="11">
        <f>HYPERLINK("https://www.nig.com.kw/AboutNIG/Top_Management","Kaynak")</f>
        <v/>
      </c>
    </row>
    <row r="204" ht="30" customHeight="1">
      <c r="A204" s="8" t="n">
        <v>202</v>
      </c>
      <c r="B204" s="10" t="inlineStr">
        <is>
          <t>Industrial / Holding</t>
        </is>
      </c>
      <c r="C204" s="10" t="inlineStr">
        <is>
          <t>Mubasher Hussien Sheikh</t>
        </is>
      </c>
      <c r="D204" s="10" t="inlineStr">
        <is>
          <t>CFO</t>
        </is>
      </c>
      <c r="E204" s="10" t="inlineStr">
        <is>
          <t>National Industries Group</t>
        </is>
      </c>
      <c r="F204" s="10" t="inlineStr">
        <is>
          <t>Kuveyt</t>
        </is>
      </c>
      <c r="G204" s="15" t="inlineStr">
        <is>
          <t>Yüksek (profesyonel)</t>
        </is>
      </c>
      <c r="H204" s="11">
        <f>HYPERLINK("https://www.linkedin.com/search/results/people/?keywords=Mubasher%20Sheikh%20National%20Industries%20Group","LinkedIn'de bul")</f>
        <v/>
      </c>
      <c r="I204" s="11">
        <f>HYPERLINK("https://www.nig.com.kw","nig.com.kw")</f>
        <v/>
      </c>
      <c r="J204" s="10" t="inlineStr"/>
      <c r="K204" s="11">
        <f>HYPERLINK("https://www.nig.com.kw/AboutNIG/Top_Management","Kaynak")</f>
        <v/>
      </c>
    </row>
  </sheetData>
  <mergeCells count="1"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F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40" customWidth="1" min="3" max="3"/>
    <col width="40" customWidth="1" min="4" max="4"/>
    <col width="10" customWidth="1" min="5" max="5"/>
  </cols>
  <sheetData>
    <row r="2">
      <c r="B2" s="18" t="inlineStr">
        <is>
          <t>Keşif Yöntemleri — Kurucu/CEO Public Olarak Nerede Görünür?</t>
        </is>
      </c>
    </row>
    <row r="3">
      <c r="B3" s="19" t="inlineStr">
        <is>
          <t>Mantık: Zengin Arap iş insanı bulunduğu yeri/işini büyük oranda PUBLIC paylaşır. Bu sinyalleri toplar, kişiyi tespit eder, public iş iletişimine ulaşırsın. Aşağıdaki her yöntem 'Scraping Pipeline' ile beslenir.</t>
        </is>
      </c>
    </row>
    <row r="5" ht="34" customHeight="1">
      <c r="B5" s="20" t="inlineStr">
        <is>
          <t>No</t>
        </is>
      </c>
      <c r="C5" s="20" t="inlineStr">
        <is>
          <t>Yöntem</t>
        </is>
      </c>
      <c r="D5" s="20" t="inlineStr">
        <is>
          <t>Neden Public Paylaşılır</t>
        </is>
      </c>
      <c r="E5" s="20" t="inlineStr">
        <is>
          <t>Nasıl Veri Çekilir</t>
        </is>
      </c>
      <c r="F5" s="20" t="inlineStr">
        <is>
          <t>Öncelik</t>
        </is>
      </c>
    </row>
    <row r="6" ht="58" customHeight="1">
      <c r="B6" s="8" t="n">
        <v>1</v>
      </c>
      <c r="C6" s="21" t="inlineStr">
        <is>
          <t>Zenginler Listeleri &amp; Ödüller</t>
        </is>
      </c>
      <c r="D6" s="10" t="inlineStr">
        <is>
          <t>Forbes Middle East, Arabian Business, Gulf Business '100 Most Powerful Arabs', 'Top CEO Awards' her yıl isim+şirketi yayınlar — prestij olduğu için kişiler paylaşır.</t>
        </is>
      </c>
      <c r="E6" s="10" t="inlineStr">
        <is>
          <t>Liste/ödül sayfalarını Apify website-content-crawler ile tara; isim+şirket çıkar → bu listeye ekle.</t>
        </is>
      </c>
      <c r="F6" s="15" t="inlineStr">
        <is>
          <t>Yüksek</t>
        </is>
      </c>
    </row>
    <row r="7" ht="58" customHeight="1">
      <c r="B7" s="8" t="n">
        <v>2</v>
      </c>
      <c r="C7" s="21" t="inlineStr">
        <is>
          <t>Etkinlik &amp; Fuar Katılımı</t>
        </is>
      </c>
      <c r="D7" s="10" t="inlineStr">
        <is>
          <t>FII, AIM Congress, Cityscape, LEAP'te konuşmacı/sergici/'attending' olmak görünürlük demek; LinkedIn Events'te katılım public.</t>
        </is>
      </c>
      <c r="E7" s="10" t="inlineStr">
        <is>
          <t>Konuşmacı &amp; sergici listeleri + LinkedIn etkinlik attendees ('Etkinlik &amp; Sinyal' sekmesi).</t>
        </is>
      </c>
      <c r="F7" s="15" t="inlineStr">
        <is>
          <t>Yüksek</t>
        </is>
      </c>
    </row>
    <row r="8" ht="58" customHeight="1">
      <c r="B8" s="8" t="n">
        <v>3</v>
      </c>
      <c r="C8" s="21" t="inlineStr">
        <is>
          <t>Borsa &amp; Yatırımcı İlişkileri (IR)</t>
        </is>
      </c>
      <c r="D8" s="10" t="inlineStr">
        <is>
          <t>Tadawul, ADX, DFM, Boursa Kuwait, QSE şirketleri yönetim kurulu üyelerini + hisse oranlarını RESMEN açıklar; IR maili public.</t>
        </is>
      </c>
      <c r="E8" s="10" t="inlineStr">
        <is>
          <t>Borsa/şirket 'Board of Directors' &amp; 'Investor Relations' sayfalarını scrape → isim + resmi IR iletişimi.</t>
        </is>
      </c>
      <c r="F8" s="15" t="inlineStr">
        <is>
          <t>Yüksek</t>
        </is>
      </c>
    </row>
    <row r="9" ht="58" customHeight="1">
      <c r="B9" s="8" t="n">
        <v>4</v>
      </c>
      <c r="C9" s="21" t="inlineStr">
        <is>
          <t>Şirket Basın Bültenleri &amp; Yatırım Haberleri</t>
        </is>
      </c>
      <c r="D9" s="10" t="inlineStr">
        <is>
          <t>Kurucu yeni yatırım/genişleme/satın alma açıkladığında PR ve haberde adı geçer — likidite ve niyet sinyali.</t>
        </is>
      </c>
      <c r="E9" s="10" t="inlineStr">
        <is>
          <t>Google News + Apify news scraper; '&lt;sektör&gt; investment GCC', 'acquisition UAE' sorguları; alert kur.</t>
        </is>
      </c>
      <c r="F9" s="15" t="inlineStr">
        <is>
          <t>Yüksek</t>
        </is>
      </c>
    </row>
    <row r="10" ht="58" customHeight="1">
      <c r="B10" s="8" t="n">
        <v>5</v>
      </c>
      <c r="C10" s="21" t="inlineStr">
        <is>
          <t>Ticaret Odası &amp; İş Konseyi Dizinleri</t>
        </is>
      </c>
      <c r="D10" s="10" t="inlineStr">
        <is>
          <t>Qatari Businessmen Association, Suudi/Dubai Ticaret Odaları, US-Saudi/Türk-Arap iş konseyleri üye dizinleri public.</t>
        </is>
      </c>
      <c r="E10" s="10" t="inlineStr">
        <is>
          <t>Üye dizini sayfalarını scrape; iş konseyi etkinlik katılımcı listeleri.</t>
        </is>
      </c>
      <c r="F10" s="15" t="inlineStr">
        <is>
          <t>Yüksek</t>
        </is>
      </c>
    </row>
    <row r="11" ht="58" customHeight="1">
      <c r="B11" s="8" t="n">
        <v>6</v>
      </c>
      <c r="C11" s="21" t="inlineStr">
        <is>
          <t>Vakıf &amp; Hayırseverlik Kurulları</t>
        </is>
      </c>
      <c r="D11" s="10" t="inlineStr">
        <is>
          <t>Community Jameel, Alghanim/aile vakıfları yönetim kurullarında zengin isimler yer alır; itibar için açıklanır.</t>
        </is>
      </c>
      <c r="E11" s="10" t="inlineStr">
        <is>
          <t>Vakıf 'Board/Trustees' sayfalarını scrape → isim → şirket → public iletişim.</t>
        </is>
      </c>
      <c r="F11" s="8" t="inlineStr">
        <is>
          <t>Orta</t>
        </is>
      </c>
    </row>
    <row r="12" ht="58" customHeight="1">
      <c r="B12" s="8" t="n">
        <v>7</v>
      </c>
      <c r="C12" s="21" t="inlineStr">
        <is>
          <t>Aile Şirketi Ağları</t>
        </is>
      </c>
      <c r="D12" s="10" t="inlineStr">
        <is>
          <t>Tharawat, Pearl Initiative, Hawkamah, family office forumları üye/konuşmacı listeleri — aile serveti sinyali.</t>
        </is>
      </c>
      <c r="E12" s="10" t="inlineStr">
        <is>
          <t>Ağ/forum üye &amp; konuşmacı sayfalarını scrape.</t>
        </is>
      </c>
      <c r="F12" s="8" t="inlineStr">
        <is>
          <t>Orta</t>
        </is>
      </c>
    </row>
    <row r="13" ht="58" customHeight="1">
      <c r="B13" s="8" t="n">
        <v>8</v>
      </c>
      <c r="C13" s="21" t="inlineStr">
        <is>
          <t>Lüks Varlık Sinyalleri</t>
        </is>
      </c>
      <c r="D13" s="10" t="inlineStr">
        <is>
          <t>Dubai World Cup at sahipleri, yat/jet, sanat müzayedesi (Sotheby's/Christie's ME) alıcıları, polo kulüpleri — servet göstergesi ve çoğu public.</t>
        </is>
      </c>
      <c r="E13" s="10" t="inlineStr">
        <is>
          <t>Etkinlik kazanan/katılımcı sayfaları, müzayede sonuç listeleri, kulüp üye haberleri.</t>
        </is>
      </c>
      <c r="F13" s="8" t="inlineStr">
        <is>
          <t>Orta</t>
        </is>
      </c>
    </row>
    <row r="14" ht="58" customHeight="1">
      <c r="B14" s="8" t="n">
        <v>9</v>
      </c>
      <c r="C14" s="21" t="inlineStr">
        <is>
          <t>Sosyal Medya Bio &amp; Gönderiler</t>
        </is>
      </c>
      <c r="D14" s="10" t="inlineStr">
        <is>
          <t>Doğrulanmış Instagram/X iş hesapları; bio'da iş maili/WhatsApp; gönderilerde seyahat/yatırım/proje sinyali.</t>
        </is>
      </c>
      <c r="E14" s="10" t="inlineStr">
        <is>
          <t>Apify Instagram/X scraper ile bio + iletişim linki + konum/etkinlik etiketleri.</t>
        </is>
      </c>
      <c r="F14" s="8" t="inlineStr">
        <is>
          <t>Orta</t>
        </is>
      </c>
    </row>
    <row r="15" ht="58" customHeight="1">
      <c r="B15" s="8" t="n">
        <v>10</v>
      </c>
      <c r="C15" s="21" t="inlineStr">
        <is>
          <t>Podcast &amp; Röportajlar</t>
        </is>
      </c>
      <c r="D15" s="10" t="inlineStr">
        <is>
          <t>Kurucular röportaj/podcast'te plan, ilgi alanı, bazen iletişim paylaşır — sıcaklık ve açı verir.</t>
        </is>
      </c>
      <c r="E15" s="10" t="inlineStr">
        <is>
          <t>YouTube/podcast açıklamaları + transkript; isim+bağlam çıkar, kişiselleştirme için kullan.</t>
        </is>
      </c>
      <c r="F15" s="8" t="inlineStr">
        <is>
          <t>Orta</t>
        </is>
      </c>
    </row>
    <row r="16" ht="58" customHeight="1">
      <c r="B16" s="8" t="n">
        <v>11</v>
      </c>
      <c r="C16" s="21" t="inlineStr">
        <is>
          <t>Mega-Proje Konsorsiyumları &amp; İhaleler</t>
        </is>
      </c>
      <c r="D16" s="10" t="inlineStr">
        <is>
          <t>NEOM, Expo legacy, dev altyapı projelerinde ortak firmalar ve sahipleri resmen açıklanır.</t>
        </is>
      </c>
      <c r="E16" s="10" t="inlineStr">
        <is>
          <t>Proje/ihale duyuru sayfaları + haber; ortak firma → sahip/başkan.</t>
        </is>
      </c>
      <c r="F16" s="8" t="inlineStr">
        <is>
          <t>Orta</t>
        </is>
      </c>
    </row>
    <row r="17" ht="58" customHeight="1">
      <c r="B17" s="8" t="n">
        <v>12</v>
      </c>
      <c r="C17" s="21" t="inlineStr">
        <is>
          <t>Sponsorluk &amp; İsim Hakları</t>
        </is>
      </c>
      <c r="D17" s="10" t="inlineStr">
        <is>
          <t>Bina/stadyum/üniversite isim hakları zengin aileleri işaret eder; basında geçer.</t>
        </is>
      </c>
      <c r="E17" s="10" t="inlineStr">
        <is>
          <t>Haber + kurum sayfaları; isim → aile/şirket → public iletişim.</t>
        </is>
      </c>
      <c r="F17" s="8" t="inlineStr">
        <is>
          <t>Düşük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5" customWidth="1" min="3" max="3"/>
    <col width="13" customWidth="1" min="4" max="4"/>
    <col width="32" customWidth="1" min="5" max="5"/>
    <col width="16" customWidth="1" min="6" max="6"/>
    <col width="34" customWidth="1" min="7" max="7"/>
  </cols>
  <sheetData>
    <row r="2">
      <c r="B2" s="18" t="inlineStr">
        <is>
          <t>Etkinlik &amp; Sinyal Hedefleme — CEO'ları Bulundukları Yerden Yakala</t>
        </is>
      </c>
    </row>
    <row r="3">
      <c r="B3" s="19" t="inlineStr">
        <is>
          <t>Kişi bir etkinliğe katıldığını PUBLIC paylaşır (LinkedIn 'Attending', konuşmacı/sergici listesi). Bu sinyali topla → kişisel LinkedIn profili → public iletişim.</t>
        </is>
      </c>
    </row>
    <row r="5" ht="38" customHeight="1">
      <c r="B5" s="20" t="inlineStr">
        <is>
          <t>No</t>
        </is>
      </c>
      <c r="C5" s="20" t="inlineStr">
        <is>
          <t>Etkinlik</t>
        </is>
      </c>
      <c r="D5" s="20" t="inlineStr">
        <is>
          <t>Şehir</t>
        </is>
      </c>
      <c r="E5" s="20" t="inlineStr">
        <is>
          <t>Dönem</t>
        </is>
      </c>
      <c r="F5" s="20" t="inlineStr">
        <is>
          <t>Neden Senin Alıcın Burada</t>
        </is>
      </c>
      <c r="G5" s="20" t="inlineStr">
        <is>
          <t>Web</t>
        </is>
      </c>
      <c r="H5" s="20" t="inlineStr">
        <is>
          <t>İsim Nasıl Çıkarılır</t>
        </is>
      </c>
    </row>
    <row r="6" ht="42" customHeight="1">
      <c r="B6" s="8" t="n">
        <v>1</v>
      </c>
      <c r="C6" s="10" t="inlineStr">
        <is>
          <t>Future Investment Initiative (FII)</t>
        </is>
      </c>
      <c r="D6" s="8" t="inlineStr">
        <is>
          <t>Riyad</t>
        </is>
      </c>
      <c r="E6" s="8" t="inlineStr">
        <is>
          <t>Ekim</t>
        </is>
      </c>
      <c r="F6" s="10" t="inlineStr">
        <is>
          <t>'Çölün Davos'u' — sovereign fonlar, family office'ler, ultra-zenginler</t>
        </is>
      </c>
      <c r="G6" s="11">
        <f>HYPERLINK("https://fii-institute.org","fii-institute.org")</f>
        <v/>
      </c>
      <c r="H6" s="10" t="inlineStr">
        <is>
          <t>Konuşmacı+partner listesi public; LinkedIn'de 'attending'</t>
        </is>
      </c>
    </row>
    <row r="7" ht="42" customHeight="1">
      <c r="B7" s="8" t="n">
        <v>2</v>
      </c>
      <c r="C7" s="10" t="inlineStr">
        <is>
          <t>AIM Congress</t>
        </is>
      </c>
      <c r="D7" s="8" t="inlineStr">
        <is>
          <t>Abu Dabi</t>
        </is>
      </c>
      <c r="E7" s="8" t="inlineStr">
        <is>
          <t>Mayıs</t>
        </is>
      </c>
      <c r="F7" s="10" t="inlineStr">
        <is>
          <t>FDI/yatırım odaklı; ülke-proje arayan sermaye = arazi/fabrika alıcısı</t>
        </is>
      </c>
      <c r="G7" s="11">
        <f>HYPERLINK("https://aimcongress.com","aimcongress.com")</f>
        <v/>
      </c>
      <c r="H7" s="10" t="inlineStr">
        <is>
          <t>Sergici+delege dizini; LinkedIn etkinlik</t>
        </is>
      </c>
    </row>
    <row r="8" ht="42" customHeight="1">
      <c r="B8" s="8" t="n">
        <v>3</v>
      </c>
      <c r="C8" s="10" t="inlineStr">
        <is>
          <t>Cityscape Global</t>
        </is>
      </c>
      <c r="D8" s="8" t="inlineStr">
        <is>
          <t>Dubai</t>
        </is>
      </c>
      <c r="E8" s="8" t="inlineStr">
        <is>
          <t>Kasım</t>
        </is>
      </c>
      <c r="F8" s="10" t="inlineStr">
        <is>
          <t>Ortadoğu'nun en büyük gayrimenkul fuarı; yatırımcı yoğun</t>
        </is>
      </c>
      <c r="G8" s="11">
        <f>HYPERLINK("https://cityscapeglobal.com","cityscapeglobal.com")</f>
        <v/>
      </c>
      <c r="H8" s="10" t="inlineStr">
        <is>
          <t>Sergici listesi; ziyaretçi randevu</t>
        </is>
      </c>
    </row>
    <row r="9" ht="42" customHeight="1">
      <c r="B9" s="8" t="n">
        <v>4</v>
      </c>
      <c r="C9" s="10" t="inlineStr">
        <is>
          <t>World Government Summit</t>
        </is>
      </c>
      <c r="D9" s="8" t="inlineStr">
        <is>
          <t>Dubai</t>
        </is>
      </c>
      <c r="E9" s="8" t="inlineStr">
        <is>
          <t>Şubat</t>
        </is>
      </c>
      <c r="F9" s="10" t="inlineStr">
        <is>
          <t>Üst düzey iş+devlet ağı; ultra-HNW karar vericiler</t>
        </is>
      </c>
      <c r="G9" s="11">
        <f>HYPERLINK("https://worldgovernmentsummit.org","worldgovernmentsummit.org")</f>
        <v/>
      </c>
      <c r="H9" s="10" t="inlineStr">
        <is>
          <t>Konuşmacı + LinkedIn attendees</t>
        </is>
      </c>
    </row>
    <row r="10" ht="42" customHeight="1">
      <c r="B10" s="8" t="n">
        <v>5</v>
      </c>
      <c r="C10" s="10" t="inlineStr">
        <is>
          <t>LEAP</t>
        </is>
      </c>
      <c r="D10" s="8" t="inlineStr">
        <is>
          <t>Riyad</t>
        </is>
      </c>
      <c r="E10" s="8" t="inlineStr">
        <is>
          <t>Şubat</t>
        </is>
      </c>
      <c r="F10" s="10" t="inlineStr">
        <is>
          <t>Dev teknoloji &amp; yatırım zirvesi; genç zengin yatırımcı havuzu</t>
        </is>
      </c>
      <c r="G10" s="11">
        <f>HYPERLINK("https://onegiantleap.com","onegiantleap.com")</f>
        <v/>
      </c>
      <c r="H10" s="10" t="inlineStr">
        <is>
          <t>Sergici+speaker; LinkedIn etkinlik</t>
        </is>
      </c>
    </row>
    <row r="11" ht="42" customHeight="1">
      <c r="B11" s="8" t="n">
        <v>6</v>
      </c>
      <c r="C11" s="10" t="inlineStr">
        <is>
          <t>Qatar Economic Forum</t>
        </is>
      </c>
      <c r="D11" s="8" t="inlineStr">
        <is>
          <t>Doha</t>
        </is>
      </c>
      <c r="E11" s="8" t="inlineStr">
        <is>
          <t>Mayıs</t>
        </is>
      </c>
      <c r="F11" s="10" t="inlineStr">
        <is>
          <t>Bloomberg destekli; bölgesel sermaye sahipleri ve CEO'lar</t>
        </is>
      </c>
      <c r="G11" s="11">
        <f>HYPERLINK("https://qatareconomicforum.com","qatareconomicforum.com")</f>
        <v/>
      </c>
      <c r="H11" s="10" t="inlineStr">
        <is>
          <t>Konuşmacı listesi → LinkedIn profil</t>
        </is>
      </c>
    </row>
    <row r="12" ht="42" customHeight="1">
      <c r="B12" s="8" t="n">
        <v>7</v>
      </c>
      <c r="C12" s="10" t="inlineStr">
        <is>
          <t>Sharjah FDI Forum</t>
        </is>
      </c>
      <c r="D12" s="8" t="inlineStr">
        <is>
          <t>Şarjah</t>
        </is>
      </c>
      <c r="E12" s="8" t="inlineStr">
        <is>
          <t>Değişken</t>
        </is>
      </c>
      <c r="F12" s="10" t="inlineStr">
        <is>
          <t>Sanayi/fabrika yatırımı arayan sermaye = fabrika paketine birebir</t>
        </is>
      </c>
      <c r="G12" s="11">
        <f>HYPERLINK("https://investinsharjah.ae","investinsharjah.ae")</f>
        <v/>
      </c>
      <c r="H12" s="10" t="inlineStr">
        <is>
          <t>Katılımcı+partner listesi</t>
        </is>
      </c>
    </row>
    <row r="13" ht="42" customHeight="1">
      <c r="B13" s="8" t="n">
        <v>8</v>
      </c>
      <c r="C13" s="10" t="inlineStr">
        <is>
          <t>LinkedIn Events (arama)</t>
        </is>
      </c>
      <c r="D13" s="8" t="inlineStr">
        <is>
          <t>Online</t>
        </is>
      </c>
      <c r="E13" s="8" t="inlineStr">
        <is>
          <t>Sürekli</t>
        </is>
      </c>
      <c r="F13" s="10" t="inlineStr">
        <is>
          <t>'Turkey real estate investment', 'family office UAE' aramaları</t>
        </is>
      </c>
      <c r="G13" s="11">
        <f>HYPERLINK("https://linkedin.com/search/results/events","linkedin.com/search/results/events")</f>
        <v/>
      </c>
      <c r="H13" s="10" t="inlineStr">
        <is>
          <t>'Attending' diyenler PUBLIC → kişisel profil → iletişim</t>
        </is>
      </c>
    </row>
    <row r="15">
      <c r="B15" s="22" t="inlineStr">
        <is>
          <t>ZENGİNLİK SİNYALLERİ — Bir kişiyi 'hedef' yapan parametreler</t>
        </is>
      </c>
    </row>
    <row r="16" ht="24" customHeight="1">
      <c r="B16" s="23" t="inlineStr">
        <is>
          <t>✓ O bölgede şirketi/holdingi olan</t>
        </is>
      </c>
      <c r="D16" s="3" t="inlineStr">
        <is>
          <t>GCC serbest bölge / DIFC / ADGM kayıtlı = likidite yüksek</t>
        </is>
      </c>
    </row>
    <row r="17" ht="24" customHeight="1">
      <c r="B17" s="23" t="inlineStr">
        <is>
          <t>✓ Etkinlikte konuşmacı/sergici</t>
        </is>
      </c>
      <c r="D17" s="3" t="inlineStr">
        <is>
          <t>Public görünürlük + bütçe = ciddi oyuncu</t>
        </is>
      </c>
    </row>
    <row r="18" ht="24" customHeight="1">
      <c r="B18" s="23" t="inlineStr">
        <is>
          <t>✓ Forbes/Arabian Business listesinde</t>
        </is>
      </c>
      <c r="D18" s="3" t="inlineStr">
        <is>
          <t>Doğrulanmış servet sinyali</t>
        </is>
      </c>
    </row>
    <row r="19" ht="24" customHeight="1">
      <c r="B19" s="23" t="inlineStr">
        <is>
          <t>✓ Family office / Chairman / Founder unvanı</t>
        </is>
      </c>
      <c r="D19" s="3" t="inlineStr">
        <is>
          <t>LinkedIn unvanı doğrudan karar verici</t>
        </is>
      </c>
    </row>
    <row r="20" ht="24" customHeight="1">
      <c r="B20" s="23" t="inlineStr">
        <is>
          <t>✓ Mevcut yurtdışı gayrimenkulü/yatırımı</t>
        </is>
      </c>
      <c r="D20" s="3" t="inlineStr">
        <is>
          <t>Zaten sınır ötesi yatırım alışkanlığı var</t>
        </is>
      </c>
    </row>
    <row r="21" ht="24" customHeight="1">
      <c r="B21" s="23" t="inlineStr">
        <is>
          <t>✓ Vatandaşlık/golden visa ilgisi</t>
        </is>
      </c>
      <c r="D21" s="3" t="inlineStr">
        <is>
          <t>İlgili içerik/etkinlik = sıcak lead</t>
        </is>
      </c>
    </row>
  </sheetData>
  <mergeCells count="13">
    <mergeCell ref="B21:C21"/>
    <mergeCell ref="B16:C16"/>
    <mergeCell ref="D20:H20"/>
    <mergeCell ref="D21:H21"/>
    <mergeCell ref="D16:H16"/>
    <mergeCell ref="B19:C19"/>
    <mergeCell ref="B20:C20"/>
    <mergeCell ref="D19:H19"/>
    <mergeCell ref="B15:H15"/>
    <mergeCell ref="B17:C17"/>
    <mergeCell ref="B18:C18"/>
    <mergeCell ref="D18:H18"/>
    <mergeCell ref="D17:H1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82" customWidth="1" min="3" max="3"/>
  </cols>
  <sheetData>
    <row r="2">
      <c r="B2" s="18" t="inlineStr">
        <is>
          <t>Apify Scraping Pipeline — Public İletişimi Otomatik Doldur</t>
        </is>
      </c>
    </row>
    <row r="3">
      <c r="B3" s="19" t="inlineStr">
        <is>
          <t>Script: apify_pipeline.js. APIFY_TOKEN koy, node ile çalıştır. Sadece public iş verisi. Önce MAX_ITEMS=10 ile test et.</t>
        </is>
      </c>
    </row>
    <row r="5" ht="30" customHeight="1">
      <c r="B5" s="24" t="inlineStr">
        <is>
          <t>Komut / Aktör</t>
        </is>
      </c>
      <c r="C5" s="24" t="inlineStr">
        <is>
          <t>Ne yapar — hangi sütunu doldurur</t>
        </is>
      </c>
    </row>
    <row r="6" ht="32" customHeight="1">
      <c r="B6" s="23" t="inlineStr">
        <is>
          <t>enrich
(contact-info-scraper)</t>
        </is>
      </c>
      <c r="C6" s="3" t="inlineStr">
        <is>
          <t>'GCC Hedef Kişiler'deki şirket sitelerini gezer; kurumsal e-posta, telefon, sosyal medya → İş E-postası/Telefon/Instagram.</t>
        </is>
      </c>
    </row>
    <row r="7" ht="32" customHeight="1">
      <c r="B7" s="23" t="inlineStr">
        <is>
          <t>maps
(crawler-google-places)</t>
        </is>
      </c>
      <c r="C7" s="3" t="inlineStr">
        <is>
          <t>'family office Dubai', 'holding company Riyadh' sorgularıyla işletme adı/telefon/website/WhatsApp → yeni hedef.</t>
        </is>
      </c>
    </row>
    <row r="8" ht="32" customHeight="1">
      <c r="B8" s="23" t="inlineStr">
        <is>
          <t>events
(website-content-crawler)</t>
        </is>
      </c>
      <c r="C8" s="3" t="inlineStr">
        <is>
          <t>FII/AIM/Cityscape konuşmacı+sergici sayfalarından isim çıkar → LinkedIn kişisel profile bağla → enrich.</t>
        </is>
      </c>
    </row>
    <row r="9" ht="32" customHeight="1">
      <c r="B9" s="23" t="inlineStr">
        <is>
          <t>richlist
(website-content-crawler)</t>
        </is>
      </c>
      <c r="C9" s="3" t="inlineStr">
        <is>
          <t>Forbes ME / Arabian Business / Gulf Business liste &amp; ödül sayfalarını tarar; isim+şirket çıkarır → listeye ekle.</t>
        </is>
      </c>
    </row>
    <row r="10" ht="32" customHeight="1">
      <c r="B10" s="23" t="inlineStr">
        <is>
          <t>news
(website-content-crawler)</t>
        </is>
      </c>
      <c r="C10" s="3" t="inlineStr">
        <is>
          <t>'&lt;sektör&gt; investment GCC', 'acquisition UAE' haber sorguları; yatırım açıklayan kurucuları yakalar.</t>
        </is>
      </c>
    </row>
    <row r="11" ht="32" customHeight="1">
      <c r="B11" s="23" t="inlineStr">
        <is>
          <t>social
(instagram-scraper)</t>
        </is>
      </c>
      <c r="C11" s="3" t="inlineStr">
        <is>
          <t>Marka/kişi Instagram bio'sundan iş maili/WhatsApp linki + konum/etkinlik etiketleri.</t>
        </is>
      </c>
    </row>
    <row r="13" ht="32" customHeight="1">
      <c r="B13" s="24" t="inlineStr">
        <is>
          <t>AKIŞ</t>
        </is>
      </c>
      <c r="C13" s="24" t="inlineStr">
        <is>
          <t>enrich ile mevcut 38 kişiyi zenginleştir → richlist/maps/news/events ile yeni hedef üret → 'Keşif Yöntemleri'ndeki diğer kaynakları manuel besle.</t>
        </is>
      </c>
    </row>
    <row r="14" ht="32" customHeight="1">
      <c r="B14" s="24" t="inlineStr">
        <is>
          <t>MALİYET KONTROL</t>
        </is>
      </c>
      <c r="C14" s="24" t="inlineStr">
        <is>
          <t>Her komut MAX_ITEMS ile sınırlı. Apify panelinde aylık spending limit koy. Cron KURMA, manuel tetikle. Toplu çalıştırma öncesi maliyet tahmini al.</t>
        </is>
      </c>
    </row>
    <row r="15" ht="32" customHeight="1">
      <c r="B15" s="24" t="inlineStr">
        <is>
          <t>YASAL</t>
        </is>
      </c>
      <c r="C15" s="24" t="inlineStr">
        <is>
          <t>Sadece public iş verisi. Pazarlamadan önce opt-out'lu ilk mesaj. Toplu otomatik WhatsApp YOK (ban).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92" customWidth="1" min="3" max="3"/>
  </cols>
  <sheetData>
    <row r="2">
      <c r="B2" s="18" t="inlineStr">
        <is>
          <t>Outreach Stratejisi — Üst Düzey Kişiye Nasıl Ulaşılır</t>
        </is>
      </c>
    </row>
    <row r="4" ht="28" customHeight="1">
      <c r="B4" s="24" t="inlineStr">
        <is>
          <t>Durum</t>
        </is>
      </c>
      <c r="C4" s="24" t="inlineStr">
        <is>
          <t>Yaklaşım</t>
        </is>
      </c>
    </row>
    <row r="5" ht="32" customHeight="1">
      <c r="B5" s="23" t="inlineStr">
        <is>
          <t>Halka açık şirket başkanı</t>
        </is>
      </c>
      <c r="C5" s="3" t="inlineStr">
        <is>
          <t>Yatırımcı İlişkileri (IR) public maili üzerinden kurumsal, kısa giriş; 'yönetim kurulu başkanının ofisine iletilmesi ricasıyla' notu. 1 sayfalık yatırım özeti ekle.</t>
        </is>
      </c>
    </row>
    <row r="6" ht="32" customHeight="1">
      <c r="B6" s="23" t="inlineStr">
        <is>
          <t>Özel/aile şirketi sahibi</t>
        </is>
      </c>
      <c r="C6" s="3" t="inlineStr">
        <is>
          <t>'Office of the Chairman' / yönetici asistanı (EA) köprüdür. Önce LinkedIn'de bağlan, ortak bağlantı/etkinlik üzerinden gir.</t>
        </is>
      </c>
    </row>
    <row r="7" ht="32" customHeight="1">
      <c r="B7" s="23" t="inlineStr">
        <is>
          <t>LinkedIn ilk mesaj</t>
        </is>
      </c>
      <c r="C7" s="3" t="inlineStr">
        <is>
          <t>Satış değil, fırsat dili: 'Türkiye'de getiri + vatandaşlık opsiyonlu seçili bir gayrimenkul portföyü; 1 sayfalık özet göndereyim mi?' Kişiye özel 1 cümle (son yatırımı/haberi).</t>
        </is>
      </c>
    </row>
    <row r="8" ht="28" customHeight="1">
      <c r="B8" s="23" t="inlineStr">
        <is>
          <t>Etkinlikte (FII/Cityscape)</t>
        </is>
      </c>
      <c r="C8" s="3" t="inlineStr">
        <is>
          <t>Yüz yüze 60 saniyelik pitch + QR ile paket. Önce randevu/networking listesinden iste.</t>
        </is>
      </c>
    </row>
    <row r="10" ht="28" customHeight="1">
      <c r="B10" s="24" t="inlineStr">
        <is>
          <t>İLK MESAJ KURALLARI</t>
        </is>
      </c>
      <c r="C10" s="24" t="inlineStr"/>
    </row>
    <row r="11" ht="32" customHeight="1">
      <c r="B11" s="23" t="inlineStr">
        <is>
          <t>Kanal</t>
        </is>
      </c>
      <c r="C11" s="3" t="inlineStr">
        <is>
          <t>Önce e-posta/LinkedIn (kurumsal güven). WhatsApp yalnızca public iş hattı veya karşı taraf paylaştıysa.</t>
        </is>
      </c>
    </row>
    <row r="12" ht="28" customHeight="1">
      <c r="B12" s="23" t="inlineStr">
        <is>
          <t>Kişiselleştir</t>
        </is>
      </c>
      <c r="C12" s="3" t="inlineStr">
        <is>
          <t>Her mesajda kuruma/kişiye özel 1 cümle. Kopyala-yapıştır spam algılanır.</t>
        </is>
      </c>
    </row>
    <row r="13" ht="28" customHeight="1">
      <c r="B13" s="23" t="inlineStr">
        <is>
          <t>Opt-out</t>
        </is>
      </c>
      <c r="C13" s="3" t="inlineStr">
        <is>
          <t>'İlgilenmiyorsanız tek kelime yazın, bir daha rahatsız etmem.' KVKK/GDPR + itibar.</t>
        </is>
      </c>
    </row>
    <row r="14" ht="28" customHeight="1">
      <c r="B14" s="23" t="inlineStr">
        <is>
          <t>Takip</t>
        </is>
      </c>
      <c r="C14" s="3" t="inlineStr">
        <is>
          <t>3 dokunuş: mesaj → 3 gün → değer (örnek paket) → 5 gün → son hatırlatma. Sonra bırak.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2026-06-06T06:36:57Z</dcterms:created>
  <dcterms:modified xsi:type="dcterms:W3CDTF">2026-06-06T06:36:57Z</dcterms:modified>
</cp:coreProperties>
</file>